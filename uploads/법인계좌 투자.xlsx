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법인계좌" sheetId="1" r:id="rId5"/>
    <sheet state="visible" name="투자 수익률" sheetId="2" r:id="rId6"/>
    <sheet state="visible" name="투자 로드맵" sheetId="3" r:id="rId7"/>
  </sheets>
  <definedNames/>
  <calcPr/>
</workbook>
</file>

<file path=xl/sharedStrings.xml><?xml version="1.0" encoding="utf-8"?>
<sst xmlns="http://schemas.openxmlformats.org/spreadsheetml/2006/main" count="142" uniqueCount="135">
  <si>
    <t>자산배분</t>
  </si>
  <si>
    <t>수기입력</t>
  </si>
  <si>
    <t>자동계산</t>
  </si>
  <si>
    <t>벤치마크</t>
  </si>
  <si>
    <t>사용법</t>
  </si>
  <si>
    <t>일자</t>
  </si>
  <si>
    <t>사업수익</t>
  </si>
  <si>
    <t>납입금액</t>
  </si>
  <si>
    <t>절세계좌 : 상대이격률 16% / 절대이격률 3%</t>
  </si>
  <si>
    <t>계좌잔고</t>
  </si>
  <si>
    <t>기간수익률</t>
  </si>
  <si>
    <t>기준가</t>
  </si>
  <si>
    <t>손익</t>
  </si>
  <si>
    <t>평가잔액</t>
  </si>
  <si>
    <t>납입총계</t>
  </si>
  <si>
    <t>단위 (억)</t>
  </si>
  <si>
    <t>손익누계</t>
  </si>
  <si>
    <t>S&amp;P500</t>
  </si>
  <si>
    <t>수익률</t>
  </si>
  <si>
    <t>코스피</t>
  </si>
  <si>
    <t>- 매도</t>
  </si>
  <si>
    <t xml:space="preserve">과세계좌 : 상대이격률 25% / 절대이격률 5% + 연 1회 </t>
  </si>
  <si>
    <t>1. 매달 수기입력부분 (계좌별 입금액 "B"열 + 기존 계좌잔고 "C"열) 만 업데이트. 나머지는 자동계산</t>
  </si>
  <si>
    <t>Year</t>
  </si>
  <si>
    <t>유보금</t>
  </si>
  <si>
    <t>+ 매수</t>
  </si>
  <si>
    <t>기존</t>
  </si>
  <si>
    <t>OR 조건으로 하나만 만족해도 리밸런싱 실행, 아래 항목중 하나라도 해당되면 리밸런싱 실행</t>
  </si>
  <si>
    <t>신규</t>
  </si>
  <si>
    <t>합계</t>
  </si>
  <si>
    <t>사업 비용</t>
  </si>
  <si>
    <t>유보금 투자비율</t>
  </si>
  <si>
    <t>자산군</t>
  </si>
  <si>
    <t>투자수익 (자산배분)</t>
  </si>
  <si>
    <t>코드</t>
  </si>
  <si>
    <t>ETF</t>
  </si>
  <si>
    <t>총수익(사업+투자-비용)</t>
  </si>
  <si>
    <t>법인세율(%)</t>
  </si>
  <si>
    <t>세후당기순익</t>
  </si>
  <si>
    <t>Y+0</t>
  </si>
  <si>
    <t>MP</t>
  </si>
  <si>
    <t>성장형</t>
  </si>
  <si>
    <t>투자금액</t>
  </si>
  <si>
    <t>주당가격</t>
  </si>
  <si>
    <t>평가금액</t>
  </si>
  <si>
    <t>현재비율</t>
  </si>
  <si>
    <t>목표주식수</t>
  </si>
  <si>
    <t>보유량</t>
  </si>
  <si>
    <t>차액</t>
  </si>
  <si>
    <t>절대이격률</t>
  </si>
  <si>
    <t>상대이격률</t>
  </si>
  <si>
    <t>주식 (50%)</t>
  </si>
  <si>
    <t>선진국</t>
  </si>
  <si>
    <t xml:space="preserve">미국주식 </t>
  </si>
  <si>
    <t>KRX:379810</t>
  </si>
  <si>
    <t>KODEX 미국나스닥 100</t>
  </si>
  <si>
    <t>Y+1</t>
  </si>
  <si>
    <t>2. 추가 입금액이 없으면, B열은 공란,계좌 잔고(C열) 부분만 매달 업데이트</t>
  </si>
  <si>
    <t>Y+2</t>
  </si>
  <si>
    <t>Y+3</t>
  </si>
  <si>
    <t>Y+4</t>
  </si>
  <si>
    <t>Y+5</t>
  </si>
  <si>
    <t>KRX:458730</t>
  </si>
  <si>
    <t>TIGER 미국배당다우존스</t>
  </si>
  <si>
    <t>Y+6</t>
  </si>
  <si>
    <t>Y+7</t>
  </si>
  <si>
    <t>Y+8</t>
  </si>
  <si>
    <t>KRX:241180</t>
  </si>
  <si>
    <t>TIGER 일본니케이 225</t>
  </si>
  <si>
    <t>신흥국</t>
  </si>
  <si>
    <t>Y+9</t>
  </si>
  <si>
    <t>한국주식</t>
  </si>
  <si>
    <t>KRX:152100</t>
  </si>
  <si>
    <t>PLUS 200</t>
  </si>
  <si>
    <t>Y+10</t>
  </si>
  <si>
    <t>중국주식 (UH)</t>
  </si>
  <si>
    <t>KRX:283580</t>
  </si>
  <si>
    <t>KODEX 차이나 CSI 300</t>
  </si>
  <si>
    <t>Y+11</t>
  </si>
  <si>
    <t>Y+12</t>
  </si>
  <si>
    <t>인도 (UH)</t>
  </si>
  <si>
    <t>KRX:453810</t>
  </si>
  <si>
    <t>KODEX 인도 Nifty 50</t>
  </si>
  <si>
    <t>3.시장 상황을 파악하기 위해 S&amp;P 와 코스피는 개별로 찾아서 매달 입력</t>
  </si>
  <si>
    <t>Y+13</t>
  </si>
  <si>
    <t>대체투자 (19%)</t>
  </si>
  <si>
    <t>금 (UH)</t>
  </si>
  <si>
    <t>KRX:411060</t>
  </si>
  <si>
    <t>ACE KRX 금현물</t>
  </si>
  <si>
    <t>Y+14</t>
  </si>
  <si>
    <t>Y+15</t>
  </si>
  <si>
    <t>국채 (28%)</t>
  </si>
  <si>
    <t>미국채 30년</t>
  </si>
  <si>
    <t>KRX:476760</t>
  </si>
  <si>
    <t>ACE 미국30년 국채액티브</t>
  </si>
  <si>
    <t>Y+16</t>
  </si>
  <si>
    <t>4. 신규 라인 추가 시 지난 달 행을 복사한 뒤 (수식이 딸려옴), 수기입력 부분 (B,C)만  위와 같이 업데이트 하면 됨</t>
  </si>
  <si>
    <t>Y+17</t>
  </si>
  <si>
    <t>국고채 30년</t>
  </si>
  <si>
    <t>KRX:385560</t>
  </si>
  <si>
    <t>RISE KIS국고채 30년 Enhanced</t>
  </si>
  <si>
    <t>Y+18</t>
  </si>
  <si>
    <t>현금성자산</t>
  </si>
  <si>
    <t>KRX:469830</t>
  </si>
  <si>
    <t>SOL 초단기채권액티브</t>
  </si>
  <si>
    <t>Y+19</t>
  </si>
  <si>
    <t>Y+20</t>
  </si>
  <si>
    <t>Y+21</t>
  </si>
  <si>
    <t>현 평가금</t>
  </si>
  <si>
    <t>Y+22</t>
  </si>
  <si>
    <t>Y+23</t>
  </si>
  <si>
    <t>Y+24</t>
  </si>
  <si>
    <t>Y+25</t>
  </si>
  <si>
    <t>최초 사용방법</t>
  </si>
  <si>
    <t>Y+26</t>
  </si>
  <si>
    <t>주당가격 : 구글드라이브에 업데이트해서 사용. GoogleFinance 수식을 걸어놔서 최신가격으로 자동 업데이트 (20분정도 시차 있음)</t>
  </si>
  <si>
    <t>Y+27</t>
  </si>
  <si>
    <t>빨간색 박스 부분만 수기 업데이트</t>
  </si>
  <si>
    <t>1. 14H (투자금액) 에 투자 할 금액 입력</t>
  </si>
  <si>
    <t>Y+28</t>
  </si>
  <si>
    <t>2. L열 (목표주식수) 만큼 매수</t>
  </si>
  <si>
    <t xml:space="preserve">이 후 추가납입시 or 연1~2회 리밸런싱 사용 </t>
  </si>
  <si>
    <t>1. 당일 계좌 보유잔고 14H에 입력 (빨간색박스)</t>
  </si>
  <si>
    <t>2. L열 (목표 주식수) 와 M열 (기존 보유량) 과의 차액(N열) 을 참고하여, 차액 (N열)에 표시된 만큼 +매수, -매도 체결</t>
  </si>
  <si>
    <t>3. 체결 완료되면 M열 (보유량) 업데이트 하여 마무리.</t>
  </si>
  <si>
    <t>Y+29</t>
  </si>
  <si>
    <t>리밸런싱 룰</t>
  </si>
  <si>
    <t xml:space="preserve">1. 혼합 방식  사용 (상대적허용범위 + 주기별 리밸런싱) </t>
  </si>
  <si>
    <t xml:space="preserve">2. 상대적 허용범위 25%를 벗어난 자산이 있을경우 리밸런싱함. </t>
  </si>
  <si>
    <t>3. 연 1회 리밸런싱. 단, 오차가 크지 않을 경우 무시.</t>
  </si>
  <si>
    <t>4. 추가 투입 시 리밸런싱</t>
  </si>
  <si>
    <t>Y+30</t>
  </si>
  <si>
    <t>연평균 2% 인플레이션 고려시,</t>
  </si>
  <si>
    <t>2055년 유보금의 현재가치</t>
  </si>
  <si>
    <t>2055년 투자수익의 현재 가치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</si>
</sst>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"/>
    <numFmt numFmtId="165" formatCode="yyyy년m월d일"/>
    <numFmt numFmtId="166" formatCode="yyyy-mm-dd"/>
    <numFmt numFmtId="167" formatCode="[$₩-412]#,##0"/>
    <numFmt numFmtId="168" formatCode="#,##0.0"/>
    <numFmt numFmtId="169" formatCode="0.0%"/>
    <numFmt numFmtId="170" formatCode="0.000%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&quot;맑은 고딕&quot;"/>
    </font>
    <font>
      <color rgb="FF000000"/>
      <name val="&quot;맑은 고딕&quot;"/>
    </font>
    <font>
      <b/>
      <color rgb="FFFF0000"/>
      <name val="Arial"/>
      <scheme val="minor"/>
    </font>
    <font/>
    <font>
      <sz val="11.0"/>
      <color theme="1"/>
      <name val="Arial"/>
    </font>
    <font>
      <color rgb="FF34A853"/>
      <name val="Arial"/>
      <scheme val="minor"/>
    </font>
    <font>
      <sz val="11.0"/>
      <color rgb="FFFF0000"/>
      <name val="Arial"/>
    </font>
    <font>
      <b/>
      <color rgb="FF000000"/>
      <name val="Arial"/>
      <scheme val="minor"/>
    </font>
    <font>
      <color theme="1"/>
      <name val="Arial"/>
    </font>
    <font>
      <color rgb="FF000000"/>
      <name val="Arial"/>
    </font>
    <font>
      <b/>
      <sz val="11.0"/>
      <color rgb="FF000000"/>
      <name val="&quot;맑은 고딕&quot;"/>
    </font>
    <font>
      <color rgb="FFFF0000"/>
      <name val="&quot;맑은 고딕&quot;"/>
    </font>
    <font>
      <b/>
      <color rgb="FF000000"/>
      <name val="&quot;맑은 고딕&quot;"/>
    </font>
    <font>
      <b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1" numFmtId="1" xfId="0" applyAlignment="1" applyFont="1" applyNumberFormat="1">
      <alignment horizontal="center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1" numFmtId="9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5" fontId="1" numFmtId="0" xfId="0" applyAlignment="1" applyFill="1" applyFont="1">
      <alignment horizontal="center" readingOrder="0"/>
    </xf>
    <xf borderId="0" fillId="0" fontId="3" numFmtId="0" xfId="0" applyAlignment="1" applyFont="1">
      <alignment horizontal="center" shrinkToFit="0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Font="1"/>
    <xf borderId="0" fillId="0" fontId="3" numFmtId="1" xfId="0" applyAlignment="1" applyFont="1" applyNumberFormat="1">
      <alignment horizontal="center" shrinkToFit="0" wrapText="0"/>
    </xf>
    <xf borderId="1" fillId="0" fontId="1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1" fillId="3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2" fillId="7" fontId="3" numFmtId="0" xfId="0" applyAlignment="1" applyBorder="1" applyFill="1" applyFont="1">
      <alignment horizontal="center" readingOrder="0" shrinkToFit="0" wrapText="0"/>
    </xf>
    <xf borderId="1" fillId="8" fontId="1" numFmtId="0" xfId="0" applyAlignment="1" applyBorder="1" applyFill="1" applyFont="1">
      <alignment readingOrder="0"/>
    </xf>
    <xf borderId="3" fillId="0" fontId="6" numFmtId="0" xfId="0" applyBorder="1" applyFont="1"/>
    <xf borderId="4" fillId="0" fontId="6" numFmtId="0" xfId="0" applyBorder="1" applyFont="1"/>
    <xf borderId="1" fillId="9" fontId="1" numFmtId="0" xfId="0" applyAlignment="1" applyBorder="1" applyFill="1" applyFont="1">
      <alignment readingOrder="0"/>
    </xf>
    <xf borderId="0" fillId="0" fontId="3" numFmtId="9" xfId="0" applyAlignment="1" applyFont="1" applyNumberFormat="1">
      <alignment horizontal="center" shrinkToFit="0" wrapText="0"/>
    </xf>
    <xf borderId="1" fillId="10" fontId="1" numFmtId="0" xfId="0" applyAlignment="1" applyBorder="1" applyFill="1" applyFont="1">
      <alignment readingOrder="0"/>
    </xf>
    <xf borderId="0" fillId="11" fontId="7" numFmtId="164" xfId="0" applyAlignment="1" applyFill="1" applyFont="1" applyNumberFormat="1">
      <alignment vertical="bottom"/>
    </xf>
    <xf borderId="1" fillId="12" fontId="1" numFmtId="0" xfId="0" applyAlignment="1" applyBorder="1" applyFill="1" applyFont="1">
      <alignment readingOrder="0"/>
    </xf>
    <xf borderId="0" fillId="0" fontId="3" numFmtId="0" xfId="0" applyAlignment="1" applyFont="1">
      <alignment horizontal="center" readingOrder="0" shrinkToFit="0" wrapText="0"/>
    </xf>
    <xf borderId="0" fillId="0" fontId="8" numFmtId="0" xfId="0" applyAlignment="1" applyFont="1">
      <alignment readingOrder="0"/>
    </xf>
    <xf borderId="1" fillId="13" fontId="1" numFmtId="0" xfId="0" applyAlignment="1" applyBorder="1" applyFill="1" applyFont="1">
      <alignment readingOrder="0"/>
    </xf>
    <xf borderId="1" fillId="13" fontId="2" numFmtId="0" xfId="0" applyAlignment="1" applyBorder="1" applyFill="1" applyFont="1">
      <alignment readingOrder="0"/>
    </xf>
    <xf borderId="0" fillId="11" fontId="9" numFmtId="164" xfId="0" applyAlignment="1" applyFill="1" applyFont="1" applyNumberFormat="1">
      <alignment vertical="bottom"/>
    </xf>
    <xf borderId="1" fillId="7" fontId="3" numFmtId="0" xfId="0" applyAlignment="1" applyBorder="1" applyFill="1" applyFont="1">
      <alignment horizontal="center" readingOrder="0" shrinkToFit="0" wrapText="0"/>
    </xf>
    <xf borderId="0" fillId="0" fontId="10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1" fillId="0" fontId="1" numFmtId="166" xfId="0" applyAlignment="1" applyBorder="1" applyFont="1" applyNumberFormat="1">
      <alignment horizontal="right" readingOrder="0"/>
    </xf>
    <xf borderId="4" fillId="7" fontId="3" numFmtId="1" xfId="0" applyAlignment="1" applyBorder="1" applyFill="1" applyFont="1" applyNumberFormat="1">
      <alignment horizontal="center" readingOrder="0" shrinkToFit="0" wrapText="0"/>
    </xf>
    <xf quotePrefix="1" borderId="0" fillId="0" fontId="2" numFmtId="0" xfId="0" applyAlignment="1" applyFont="1">
      <alignment readingOrder="0"/>
    </xf>
    <xf borderId="1" fillId="3" fontId="1" numFmtId="167" xfId="0" applyAlignment="1" applyBorder="1" applyFill="1" applyFont="1" applyNumberFormat="1">
      <alignment horizontal="right" readingOrder="0"/>
    </xf>
    <xf borderId="4" fillId="7" fontId="3" numFmtId="0" xfId="0" applyAlignment="1" applyBorder="1" applyFill="1" applyFont="1">
      <alignment horizontal="center" readingOrder="0" shrinkToFit="0" wrapText="0"/>
    </xf>
    <xf borderId="0" fillId="0" fontId="11" numFmtId="164" xfId="0" applyAlignment="1" applyFont="1" applyNumberFormat="1">
      <alignment vertical="bottom"/>
    </xf>
    <xf borderId="3" fillId="7" fontId="3" numFmtId="0" xfId="0" applyAlignment="1" applyBorder="1" applyFill="1" applyFont="1">
      <alignment horizontal="center" readingOrder="0" shrinkToFit="0" wrapText="0"/>
    </xf>
    <xf borderId="0" fillId="11" fontId="12" numFmtId="3" xfId="0" applyAlignment="1" applyFill="1" applyFont="1" applyNumberFormat="1">
      <alignment horizontal="right"/>
    </xf>
    <xf borderId="1" fillId="6" fontId="1" numFmtId="10" xfId="0" applyAlignment="1" applyBorder="1" applyFill="1" applyFont="1" applyNumberFormat="1">
      <alignment horizontal="right" readingOrder="0"/>
    </xf>
    <xf borderId="0" fillId="0" fontId="1" numFmtId="164" xfId="0" applyFont="1" applyNumberFormat="1"/>
    <xf borderId="1" fillId="7" fontId="13" numFmtId="0" xfId="0" applyAlignment="1" applyBorder="1" applyFill="1" applyFont="1">
      <alignment horizontal="center" readingOrder="0" shrinkToFit="0" wrapText="0"/>
    </xf>
    <xf borderId="1" fillId="6" fontId="1" numFmtId="168" xfId="0" applyAlignment="1" applyBorder="1" applyFill="1" applyFont="1" applyNumberFormat="1">
      <alignment horizontal="right" readingOrder="0"/>
    </xf>
    <xf borderId="4" fillId="4" fontId="3" numFmtId="0" xfId="0" applyAlignment="1" applyBorder="1" applyFill="1" applyFont="1">
      <alignment horizontal="center" readingOrder="0"/>
    </xf>
    <xf borderId="0" fillId="0" fontId="1" numFmtId="3" xfId="0" applyAlignment="1" applyFont="1" applyNumberFormat="1">
      <alignment readingOrder="0"/>
    </xf>
    <xf borderId="1" fillId="6" fontId="2" numFmtId="0" xfId="0" applyAlignment="1" applyBorder="1" applyFill="1" applyFont="1">
      <alignment horizontal="right"/>
    </xf>
    <xf borderId="3" fillId="14" fontId="3" numFmtId="9" xfId="0" applyAlignment="1" applyBorder="1" applyFill="1" applyFont="1" applyNumberFormat="1">
      <alignment horizontal="center" readingOrder="0"/>
    </xf>
    <xf borderId="1" fillId="0" fontId="11" numFmtId="0" xfId="0" applyAlignment="1" applyBorder="1" applyFont="1">
      <alignment vertical="bottom"/>
    </xf>
    <xf borderId="1" fillId="8" fontId="1" numFmtId="167" xfId="0" applyAlignment="1" applyBorder="1" applyFill="1" applyFont="1" applyNumberFormat="1">
      <alignment horizontal="right" readingOrder="0"/>
    </xf>
    <xf borderId="1" fillId="14" fontId="13" numFmtId="0" xfId="0" applyAlignment="1" applyBorder="1" applyFill="1" applyFont="1">
      <alignment horizontal="center" readingOrder="0" shrinkToFit="0" wrapText="0"/>
    </xf>
    <xf borderId="4" fillId="15" fontId="3" numFmtId="0" xfId="0" applyAlignment="1" applyBorder="1" applyFill="1" applyFont="1">
      <alignment horizontal="center" readingOrder="0" shrinkToFit="0" wrapText="0"/>
    </xf>
    <xf borderId="5" fillId="7" fontId="3" numFmtId="0" xfId="0" applyAlignment="1" applyBorder="1" applyFill="1" applyFont="1">
      <alignment horizontal="center" readingOrder="0" shrinkToFit="0" wrapText="0"/>
    </xf>
    <xf borderId="6" fillId="0" fontId="3" numFmtId="1" xfId="0" applyAlignment="1" applyBorder="1" applyFont="1" applyNumberFormat="1">
      <alignment horizontal="center" readingOrder="0" shrinkToFit="0" wrapText="0"/>
    </xf>
    <xf borderId="6" fillId="0" fontId="3" numFmtId="0" xfId="0" applyAlignment="1" applyBorder="1" applyFont="1">
      <alignment horizontal="center" readingOrder="0" shrinkToFit="0" wrapText="0"/>
    </xf>
    <xf borderId="7" fillId="0" fontId="3" numFmtId="0" xfId="0" applyAlignment="1" applyBorder="1" applyFont="1">
      <alignment horizontal="center" readingOrder="0" shrinkToFit="0" wrapText="0"/>
    </xf>
    <xf borderId="1" fillId="0" fontId="11" numFmtId="3" xfId="0" applyAlignment="1" applyBorder="1" applyFont="1" applyNumberFormat="1">
      <alignment vertical="bottom"/>
    </xf>
    <xf borderId="1" fillId="0" fontId="2" numFmtId="0" xfId="0" applyAlignment="1" applyBorder="1" applyFont="1">
      <alignment readingOrder="0"/>
    </xf>
    <xf borderId="8" fillId="0" fontId="11" numFmtId="0" xfId="0" applyAlignment="1" applyBorder="1" applyFont="1">
      <alignment vertical="bottom"/>
    </xf>
    <xf borderId="1" fillId="0" fontId="11" numFmtId="10" xfId="0" applyAlignment="1" applyBorder="1" applyFont="1" applyNumberFormat="1">
      <alignment horizontal="right" vertical="bottom"/>
    </xf>
    <xf borderId="5" fillId="7" fontId="13" numFmtId="0" xfId="0" applyAlignment="1" applyBorder="1" applyFill="1" applyFont="1">
      <alignment horizontal="center" readingOrder="0" shrinkToFit="0" wrapText="0"/>
    </xf>
    <xf borderId="6" fillId="4" fontId="3" numFmtId="0" xfId="0" applyAlignment="1" applyBorder="1" applyFill="1" applyFont="1">
      <alignment horizontal="center" readingOrder="0" shrinkToFit="0" wrapText="0"/>
    </xf>
    <xf borderId="7" fillId="14" fontId="3" numFmtId="9" xfId="0" applyAlignment="1" applyBorder="1" applyFill="1" applyFont="1" applyNumberFormat="1">
      <alignment horizontal="center" readingOrder="0" shrinkToFit="0" wrapText="0"/>
    </xf>
    <xf borderId="5" fillId="14" fontId="13" numFmtId="0" xfId="0" applyAlignment="1" applyBorder="1" applyFill="1" applyFont="1">
      <alignment horizontal="center" readingOrder="0" shrinkToFit="0" wrapText="0"/>
    </xf>
    <xf borderId="1" fillId="9" fontId="1" numFmtId="3" xfId="0" applyAlignment="1" applyBorder="1" applyFill="1" applyFont="1" applyNumberFormat="1">
      <alignment horizontal="right" readingOrder="0"/>
    </xf>
    <xf borderId="1" fillId="0" fontId="11" numFmtId="3" xfId="0" applyAlignment="1" applyBorder="1" applyFont="1" applyNumberFormat="1">
      <alignment horizontal="right" vertical="bottom"/>
    </xf>
    <xf borderId="1" fillId="10" fontId="1" numFmtId="3" xfId="0" applyAlignment="1" applyBorder="1" applyFill="1" applyFont="1" applyNumberFormat="1">
      <alignment horizontal="right" readingOrder="0"/>
    </xf>
    <xf borderId="6" fillId="15" fontId="3" numFmtId="0" xfId="0" applyAlignment="1" applyBorder="1" applyFill="1" applyFont="1">
      <alignment horizontal="center" readingOrder="0" shrinkToFit="0" wrapText="0"/>
    </xf>
    <xf borderId="7" fillId="0" fontId="3" numFmtId="9" xfId="0" applyAlignment="1" applyBorder="1" applyFont="1" applyNumberFormat="1">
      <alignment horizontal="center" readingOrder="0" shrinkToFit="0" wrapText="0"/>
    </xf>
    <xf borderId="1" fillId="12" fontId="1" numFmtId="3" xfId="0" applyAlignment="1" applyBorder="1" applyFill="1" applyFont="1" applyNumberFormat="1">
      <alignment horizontal="right" readingOrder="0"/>
    </xf>
    <xf borderId="1" fillId="8" fontId="1" numFmtId="3" xfId="0" applyAlignment="1" applyBorder="1" applyFill="1" applyFont="1" applyNumberFormat="1">
      <alignment horizontal="right" readingOrder="0"/>
    </xf>
    <xf borderId="1" fillId="8" fontId="2" numFmtId="0" xfId="0" applyAlignment="1" applyBorder="1" applyFill="1" applyFont="1">
      <alignment horizontal="right"/>
    </xf>
    <xf borderId="5" fillId="0" fontId="3" numFmtId="164" xfId="0" applyAlignment="1" applyBorder="1" applyFont="1" applyNumberFormat="1">
      <alignment horizontal="center" readingOrder="0" shrinkToFit="0" wrapText="0"/>
    </xf>
    <xf borderId="1" fillId="8" fontId="1" numFmtId="0" xfId="0" applyAlignment="1" applyBorder="1" applyFill="1" applyFont="1">
      <alignment horizontal="right" readingOrder="0"/>
    </xf>
    <xf borderId="1" fillId="13" fontId="1" numFmtId="3" xfId="0" applyAlignment="1" applyBorder="1" applyFill="1" applyFont="1" applyNumberFormat="1">
      <alignment horizontal="right" readingOrder="0"/>
    </xf>
    <xf borderId="1" fillId="13" fontId="2" numFmtId="0" xfId="0" applyAlignment="1" applyBorder="1" applyFill="1" applyFont="1">
      <alignment horizontal="right"/>
    </xf>
    <xf borderId="0" fillId="0" fontId="1" numFmtId="0" xfId="0" applyAlignment="1" applyFont="1">
      <alignment horizontal="right"/>
    </xf>
    <xf borderId="5" fillId="14" fontId="13" numFmtId="164" xfId="0" applyAlignment="1" applyBorder="1" applyFill="1" applyFont="1" applyNumberFormat="1">
      <alignment horizontal="center" readingOrder="0" shrinkToFit="0" wrapText="0"/>
    </xf>
    <xf borderId="6" fillId="15" fontId="3" numFmtId="164" xfId="0" applyAlignment="1" applyBorder="1" applyFill="1" applyFont="1" applyNumberFormat="1">
      <alignment horizontal="center" readingOrder="0" shrinkToFit="0" wrapText="0"/>
    </xf>
    <xf borderId="1" fillId="0" fontId="11" numFmtId="1" xfId="0" applyAlignment="1" applyBorder="1" applyFont="1" applyNumberFormat="1">
      <alignment horizontal="right" vertical="bottom"/>
    </xf>
    <xf borderId="1" fillId="6" fontId="1" numFmtId="10" xfId="0" applyAlignment="1" applyBorder="1" applyFill="1" applyFont="1" applyNumberFormat="1">
      <alignment horizontal="right"/>
    </xf>
    <xf borderId="1" fillId="0" fontId="11" numFmtId="0" xfId="0" applyAlignment="1" applyBorder="1" applyFont="1">
      <alignment horizontal="right" readingOrder="0" vertical="bottom"/>
    </xf>
    <xf borderId="1" fillId="6" fontId="1" numFmtId="168" xfId="0" applyAlignment="1" applyBorder="1" applyFill="1" applyFont="1" applyNumberFormat="1">
      <alignment horizontal="right"/>
    </xf>
    <xf borderId="1" fillId="0" fontId="2" numFmtId="169" xfId="0" applyAlignment="1" applyBorder="1" applyFont="1" applyNumberFormat="1">
      <alignment readingOrder="0"/>
    </xf>
    <xf borderId="1" fillId="6" fontId="2" numFmtId="167" xfId="0" applyAlignment="1" applyBorder="1" applyFill="1" applyFont="1" applyNumberFormat="1">
      <alignment horizontal="right"/>
    </xf>
    <xf borderId="9" fillId="0" fontId="6" numFmtId="0" xfId="0" applyBorder="1" applyFont="1"/>
    <xf borderId="1" fillId="0" fontId="12" numFmtId="10" xfId="0" applyAlignment="1" applyBorder="1" applyFont="1" applyNumberFormat="1">
      <alignment horizontal="right" vertical="bottom"/>
    </xf>
    <xf borderId="5" fillId="0" fontId="6" numFmtId="0" xfId="0" applyBorder="1" applyFont="1"/>
    <xf borderId="1" fillId="8" fontId="2" numFmtId="10" xfId="0" applyAlignment="1" applyBorder="1" applyFill="1" applyFont="1" applyNumberFormat="1">
      <alignment horizontal="right"/>
    </xf>
    <xf borderId="1" fillId="8" fontId="1" numFmtId="164" xfId="0" applyAlignment="1" applyBorder="1" applyFill="1" applyFont="1" applyNumberFormat="1">
      <alignment horizontal="right"/>
    </xf>
    <xf borderId="1" fillId="13" fontId="2" numFmtId="10" xfId="0" applyAlignment="1" applyBorder="1" applyFill="1" applyFont="1" applyNumberFormat="1">
      <alignment horizontal="right"/>
    </xf>
    <xf borderId="1" fillId="13" fontId="1" numFmtId="164" xfId="0" applyBorder="1" applyFill="1" applyFont="1" applyNumberFormat="1"/>
    <xf borderId="0" fillId="0" fontId="12" numFmtId="0" xfId="0" applyAlignment="1" applyFont="1">
      <alignment horizontal="right" shrinkToFit="0" vertical="bottom" wrapText="0"/>
    </xf>
    <xf borderId="1" fillId="0" fontId="11" numFmtId="10" xfId="0" applyAlignment="1" applyBorder="1" applyFont="1" applyNumberFormat="1">
      <alignment horizontal="right" readingOrder="0" vertical="bottom"/>
    </xf>
    <xf borderId="0" fillId="0" fontId="1" numFmtId="3" xfId="0" applyAlignment="1" applyFont="1" applyNumberFormat="1">
      <alignment horizontal="right"/>
    </xf>
    <xf borderId="0" fillId="0" fontId="14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10" fillId="0" fontId="1" numFmtId="3" xfId="0" applyAlignment="1" applyBorder="1" applyFont="1" applyNumberFormat="1">
      <alignment readingOrder="0"/>
    </xf>
    <xf borderId="0" fillId="0" fontId="1" numFmtId="170" xfId="0" applyAlignment="1" applyFont="1" applyNumberFormat="1">
      <alignment horizontal="left"/>
    </xf>
    <xf borderId="0" fillId="0" fontId="2" numFmtId="0" xfId="0" applyAlignment="1" applyFont="1">
      <alignment horizontal="right" readingOrder="0"/>
    </xf>
    <xf borderId="1" fillId="3" fontId="1" numFmtId="3" xfId="0" applyAlignment="1" applyBorder="1" applyFill="1" applyFont="1" applyNumberFormat="1">
      <alignment horizontal="right" readingOrder="0"/>
    </xf>
    <xf borderId="0" fillId="0" fontId="2" numFmtId="3" xfId="0" applyFont="1" applyNumberFormat="1"/>
    <xf borderId="1" fillId="3" fontId="1" numFmtId="167" xfId="0" applyAlignment="1" applyBorder="1" applyFill="1" applyFont="1" applyNumberFormat="1">
      <alignment horizontal="right"/>
    </xf>
    <xf borderId="0" fillId="0" fontId="15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10" fillId="0" fontId="12" numFmtId="0" xfId="0" applyAlignment="1" applyBorder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3" numFmtId="1" xfId="0" applyAlignment="1" applyFont="1" applyNumberFormat="1">
      <alignment horizontal="center" readingOrder="0" shrinkToFit="0" wrapText="0"/>
    </xf>
    <xf borderId="0" fillId="0" fontId="3" numFmtId="164" xfId="0" applyAlignment="1" applyFont="1" applyNumberFormat="1">
      <alignment horizontal="center" readingOrder="0" shrinkToFit="0" wrapText="0"/>
    </xf>
    <xf borderId="0" fillId="0" fontId="16" numFmtId="0" xfId="0" applyAlignment="1" applyFont="1">
      <alignment horizontal="left" readingOrder="0"/>
    </xf>
    <xf borderId="1" fillId="0" fontId="1" numFmtId="0" xfId="0" applyAlignment="1" applyBorder="1" applyFont="1">
      <alignment horizontal="right"/>
    </xf>
    <xf borderId="1" fillId="8" fontId="1" numFmtId="10" xfId="0" applyAlignment="1" applyBorder="1" applyFill="1" applyFont="1" applyNumberFormat="1">
      <alignment horizontal="right"/>
    </xf>
    <xf borderId="1" fillId="13" fontId="1" numFmtId="0" xfId="0" applyAlignment="1" applyBorder="1" applyFill="1" applyFont="1">
      <alignment horizontal="right" readingOrder="0"/>
    </xf>
    <xf borderId="1" fillId="3" fontId="1" numFmtId="0" xfId="0" applyAlignment="1" applyBorder="1" applyFill="1" applyFont="1">
      <alignment horizontal="right"/>
    </xf>
    <xf borderId="1" fillId="6" fontId="1" numFmtId="0" xfId="0" applyAlignment="1" applyBorder="1" applyFill="1" applyFont="1">
      <alignment horizontal="right"/>
    </xf>
    <xf borderId="1" fillId="8" fontId="1" numFmtId="0" xfId="0" applyAlignment="1" applyBorder="1" applyFill="1" applyFont="1">
      <alignment horizontal="right"/>
    </xf>
    <xf borderId="1" fillId="13" fontId="1" numFmtId="0" xfId="0" applyAlignment="1" applyBorder="1" applyFill="1" applyFont="1">
      <alignment horizontal="right"/>
    </xf>
    <xf borderId="1" fillId="3" fontId="1" numFmtId="3" xfId="0" applyAlignment="1" applyBorder="1" applyFill="1" applyFont="1" applyNumberFormat="1">
      <alignment horizontal="right"/>
    </xf>
    <xf borderId="1" fillId="6" fontId="1" numFmtId="3" xfId="0" applyAlignment="1" applyBorder="1" applyFill="1" applyFont="1" applyNumberFormat="1">
      <alignment horizontal="right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2">
    <dxf>
      <font>
        <color rgb="FF0000FF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0"/>
    <col customWidth="1" min="5" max="5" width="26.13"/>
    <col customWidth="1" min="6" max="6" width="6.63"/>
    <col customWidth="1" min="7" max="7" width="11.13"/>
    <col customWidth="1" min="9" max="9" width="7.63"/>
    <col customWidth="1" min="10" max="10" width="10.25"/>
    <col customWidth="1" min="11" max="11" width="7.63"/>
    <col customWidth="1" min="12" max="12" width="8.63"/>
    <col customWidth="1" min="13" max="13" width="6.0"/>
    <col customWidth="1" min="14" max="14" width="4.38"/>
    <col customWidth="1" min="15" max="15" width="8.63"/>
    <col customWidth="1" min="16" max="16" width="8.38"/>
  </cols>
  <sheetData>
    <row r="1">
      <c r="A1" s="7"/>
      <c r="B1" s="11"/>
      <c r="D1" s="11"/>
      <c r="E1" s="14"/>
      <c r="F1" s="11"/>
      <c r="G1" s="11"/>
      <c r="H1" s="11"/>
      <c r="I1" s="11"/>
      <c r="J1" s="11"/>
      <c r="K1" s="11"/>
      <c r="L1" s="11"/>
      <c r="M1" s="11"/>
      <c r="N1" s="11"/>
      <c r="O1" s="25" t="s">
        <v>8</v>
      </c>
      <c r="P1" s="11"/>
    </row>
    <row r="2">
      <c r="A2" s="7"/>
      <c r="B2" s="11"/>
      <c r="C2" s="11"/>
      <c r="D2" s="11"/>
      <c r="E2" s="28"/>
      <c r="F2" s="11"/>
      <c r="G2" s="11"/>
      <c r="H2" s="11"/>
      <c r="I2" s="11"/>
      <c r="J2" s="11"/>
      <c r="K2" s="11"/>
      <c r="L2" s="11"/>
      <c r="M2" s="7" t="s">
        <v>20</v>
      </c>
      <c r="N2" s="11"/>
      <c r="O2" s="31" t="s">
        <v>21</v>
      </c>
      <c r="P2" s="11"/>
    </row>
    <row r="3">
      <c r="A3" s="11"/>
      <c r="B3" s="11"/>
      <c r="C3" s="11"/>
      <c r="D3" s="11"/>
      <c r="E3" s="11"/>
      <c r="F3" s="11"/>
      <c r="G3" s="33"/>
      <c r="H3" s="11"/>
      <c r="I3" s="34"/>
      <c r="J3" s="11"/>
      <c r="K3" s="11"/>
      <c r="L3" s="11"/>
      <c r="M3" s="37" t="s">
        <v>25</v>
      </c>
      <c r="N3" s="11"/>
      <c r="O3" s="40" t="s">
        <v>27</v>
      </c>
      <c r="P3" s="7"/>
    </row>
    <row r="4">
      <c r="H4" s="42"/>
      <c r="Q4" s="44"/>
    </row>
    <row r="5">
      <c r="H5" s="48"/>
      <c r="Q5" s="44"/>
    </row>
    <row r="6">
      <c r="A6" s="51" t="s">
        <v>32</v>
      </c>
      <c r="B6" s="51"/>
      <c r="C6" s="51"/>
      <c r="D6" s="51" t="s">
        <v>34</v>
      </c>
      <c r="E6" s="51" t="s">
        <v>35</v>
      </c>
      <c r="F6" s="51" t="s">
        <v>40</v>
      </c>
      <c r="G6" s="51" t="s">
        <v>41</v>
      </c>
      <c r="H6" s="59" t="s">
        <v>42</v>
      </c>
      <c r="I6" s="59" t="s">
        <v>43</v>
      </c>
      <c r="J6" s="51" t="s">
        <v>44</v>
      </c>
      <c r="K6" s="51" t="s">
        <v>45</v>
      </c>
      <c r="L6" s="51" t="s">
        <v>46</v>
      </c>
      <c r="M6" s="51" t="s">
        <v>47</v>
      </c>
      <c r="N6" s="51" t="s">
        <v>48</v>
      </c>
      <c r="O6" s="60" t="s">
        <v>49</v>
      </c>
      <c r="P6" s="60" t="s">
        <v>50</v>
      </c>
      <c r="Q6" s="44"/>
    </row>
    <row r="7">
      <c r="A7" s="61" t="s">
        <v>51</v>
      </c>
      <c r="B7" s="61" t="s">
        <v>52</v>
      </c>
      <c r="C7" s="61" t="s">
        <v>53</v>
      </c>
      <c r="D7" s="51" t="s">
        <v>54</v>
      </c>
      <c r="E7" s="51" t="s">
        <v>55</v>
      </c>
      <c r="F7" s="62">
        <v>0.095</v>
      </c>
      <c r="G7" s="62">
        <v>0.095</v>
      </c>
      <c r="H7" s="68">
        <f t="shared" ref="H7:H16" si="1">$H$17*G7</f>
        <v>44650000</v>
      </c>
      <c r="I7" s="68">
        <f>IFERROR(__xludf.DUMMYFUNCTION("googlefinance(D7,""price"") "),27525.0)</f>
        <v>27525</v>
      </c>
      <c r="J7" s="68">
        <f t="shared" ref="J7:J16" si="2">I7*M7</f>
        <v>45388725</v>
      </c>
      <c r="K7" s="62">
        <f t="shared" ref="K7:K16" si="3">J7/$H$17</f>
        <v>0.09657175532</v>
      </c>
      <c r="L7" s="82">
        <f t="shared" ref="L7:L16" si="4">H7/I7</f>
        <v>1622.161671</v>
      </c>
      <c r="M7" s="84">
        <v>1649.0</v>
      </c>
      <c r="N7" s="82">
        <f t="shared" ref="N7:N16" si="5">L7-M7</f>
        <v>-26.83832879</v>
      </c>
      <c r="O7" s="86">
        <f t="shared" ref="O7:O16" si="6">K7-G7</f>
        <v>0.001571755319</v>
      </c>
      <c r="P7" s="62">
        <f t="shared" ref="P7:P16" si="7">ABS(K7/G7-1)</f>
        <v>0.01654479283</v>
      </c>
      <c r="Q7" s="44"/>
    </row>
    <row r="8">
      <c r="A8" s="88"/>
      <c r="B8" s="88"/>
      <c r="C8" s="88"/>
      <c r="D8" s="51" t="s">
        <v>62</v>
      </c>
      <c r="E8" s="51" t="s">
        <v>63</v>
      </c>
      <c r="F8" s="62">
        <v>0.1</v>
      </c>
      <c r="G8" s="62">
        <v>0.1</v>
      </c>
      <c r="H8" s="68">
        <f t="shared" si="1"/>
        <v>47000000</v>
      </c>
      <c r="I8" s="68">
        <f>IFERROR(__xludf.DUMMYFUNCTION("googlefinance(D8,""price"") "),14070.0)</f>
        <v>14070</v>
      </c>
      <c r="J8" s="68">
        <f t="shared" si="2"/>
        <v>44531550</v>
      </c>
      <c r="K8" s="62">
        <f t="shared" si="3"/>
        <v>0.09474797872</v>
      </c>
      <c r="L8" s="82">
        <f t="shared" si="4"/>
        <v>3340.440654</v>
      </c>
      <c r="M8" s="84">
        <v>3165.0</v>
      </c>
      <c r="N8" s="82">
        <f t="shared" si="5"/>
        <v>175.4406539</v>
      </c>
      <c r="O8" s="86">
        <f t="shared" si="6"/>
        <v>-0.005252021277</v>
      </c>
      <c r="P8" s="89">
        <f t="shared" si="7"/>
        <v>0.05252021277</v>
      </c>
      <c r="Q8" s="44"/>
    </row>
    <row r="9">
      <c r="A9" s="88"/>
      <c r="B9" s="90"/>
      <c r="C9" s="90"/>
      <c r="D9" s="51" t="s">
        <v>67</v>
      </c>
      <c r="E9" s="51" t="s">
        <v>68</v>
      </c>
      <c r="F9" s="62">
        <v>0.045</v>
      </c>
      <c r="G9" s="62">
        <v>0.045</v>
      </c>
      <c r="H9" s="68">
        <f t="shared" si="1"/>
        <v>21150000</v>
      </c>
      <c r="I9" s="68">
        <f>IFERROR(__xludf.DUMMYFUNCTION("googlefinance(D9,""price"") "),35370.0)</f>
        <v>35370</v>
      </c>
      <c r="J9" s="68">
        <f t="shared" si="2"/>
        <v>21575700</v>
      </c>
      <c r="K9" s="62">
        <f t="shared" si="3"/>
        <v>0.04590574468</v>
      </c>
      <c r="L9" s="82">
        <f t="shared" si="4"/>
        <v>597.9643766</v>
      </c>
      <c r="M9" s="84">
        <v>610.0</v>
      </c>
      <c r="N9" s="82">
        <f t="shared" si="5"/>
        <v>-12.03562341</v>
      </c>
      <c r="O9" s="86">
        <f t="shared" si="6"/>
        <v>0.0009057446809</v>
      </c>
      <c r="P9" s="62">
        <f t="shared" si="7"/>
        <v>0.02012765957</v>
      </c>
      <c r="Q9" s="44"/>
    </row>
    <row r="10">
      <c r="A10" s="88"/>
      <c r="B10" s="61" t="s">
        <v>69</v>
      </c>
      <c r="C10" s="51" t="s">
        <v>71</v>
      </c>
      <c r="D10" s="51" t="s">
        <v>72</v>
      </c>
      <c r="E10" s="51" t="s">
        <v>73</v>
      </c>
      <c r="F10" s="62">
        <v>0.08</v>
      </c>
      <c r="G10" s="62">
        <v>0.08</v>
      </c>
      <c r="H10" s="68">
        <f t="shared" si="1"/>
        <v>37600000</v>
      </c>
      <c r="I10" s="68">
        <f>IFERROR(__xludf.DUMMYFUNCTION("googlefinance(D10,""price"") "),111080.0)</f>
        <v>111080</v>
      </c>
      <c r="J10" s="68">
        <f t="shared" si="2"/>
        <v>37545040</v>
      </c>
      <c r="K10" s="62">
        <f t="shared" si="3"/>
        <v>0.07988306383</v>
      </c>
      <c r="L10" s="82">
        <f t="shared" si="4"/>
        <v>338.4947785</v>
      </c>
      <c r="M10" s="84">
        <v>338.0</v>
      </c>
      <c r="N10" s="82">
        <f t="shared" si="5"/>
        <v>0.494778538</v>
      </c>
      <c r="O10" s="86">
        <f t="shared" si="6"/>
        <v>-0.0001169361702</v>
      </c>
      <c r="P10" s="62">
        <f t="shared" si="7"/>
        <v>0.001461702128</v>
      </c>
      <c r="Q10" s="44"/>
    </row>
    <row r="11">
      <c r="A11" s="88"/>
      <c r="B11" s="88"/>
      <c r="C11" s="51" t="s">
        <v>75</v>
      </c>
      <c r="D11" s="51" t="s">
        <v>76</v>
      </c>
      <c r="E11" s="51" t="s">
        <v>77</v>
      </c>
      <c r="F11" s="62">
        <v>0.08</v>
      </c>
      <c r="G11" s="62">
        <v>0.08</v>
      </c>
      <c r="H11" s="68">
        <f t="shared" si="1"/>
        <v>37600000</v>
      </c>
      <c r="I11" s="68">
        <f>IFERROR(__xludf.DUMMYFUNCTION("googlefinance(D11,""price"") "),14330.0)</f>
        <v>14330</v>
      </c>
      <c r="J11" s="68">
        <f t="shared" si="2"/>
        <v>35638710</v>
      </c>
      <c r="K11" s="62">
        <f t="shared" si="3"/>
        <v>0.07582704255</v>
      </c>
      <c r="L11" s="82">
        <f t="shared" si="4"/>
        <v>2623.866015</v>
      </c>
      <c r="M11" s="84">
        <v>2487.0</v>
      </c>
      <c r="N11" s="82">
        <f t="shared" si="5"/>
        <v>136.8660154</v>
      </c>
      <c r="O11" s="86">
        <f t="shared" si="6"/>
        <v>-0.004172957447</v>
      </c>
      <c r="P11" s="62">
        <f t="shared" si="7"/>
        <v>0.05216196809</v>
      </c>
      <c r="Q11" s="44"/>
    </row>
    <row r="12">
      <c r="A12" s="90"/>
      <c r="B12" s="90"/>
      <c r="C12" s="51" t="s">
        <v>80</v>
      </c>
      <c r="D12" s="51" t="s">
        <v>81</v>
      </c>
      <c r="E12" s="51" t="s">
        <v>82</v>
      </c>
      <c r="F12" s="62">
        <v>0.08</v>
      </c>
      <c r="G12" s="62">
        <v>0.08</v>
      </c>
      <c r="H12" s="68">
        <f t="shared" si="1"/>
        <v>37600000</v>
      </c>
      <c r="I12" s="68">
        <f>IFERROR(__xludf.DUMMYFUNCTION("googlefinance(D12,""price"") "),10765.0)</f>
        <v>10765</v>
      </c>
      <c r="J12" s="68">
        <f t="shared" si="2"/>
        <v>35729035</v>
      </c>
      <c r="K12" s="62">
        <f t="shared" si="3"/>
        <v>0.0760192234</v>
      </c>
      <c r="L12" s="82">
        <f t="shared" si="4"/>
        <v>3492.800743</v>
      </c>
      <c r="M12" s="84">
        <v>3319.0</v>
      </c>
      <c r="N12" s="82">
        <f t="shared" si="5"/>
        <v>173.8007431</v>
      </c>
      <c r="O12" s="86">
        <f t="shared" si="6"/>
        <v>-0.003980776596</v>
      </c>
      <c r="P12" s="62">
        <f t="shared" si="7"/>
        <v>0.04975970745</v>
      </c>
      <c r="Q12" s="44"/>
    </row>
    <row r="13">
      <c r="A13" s="51" t="s">
        <v>85</v>
      </c>
      <c r="B13" s="51"/>
      <c r="C13" s="51" t="s">
        <v>86</v>
      </c>
      <c r="D13" s="51" t="s">
        <v>87</v>
      </c>
      <c r="E13" s="51" t="s">
        <v>88</v>
      </c>
      <c r="F13" s="62">
        <v>0.19</v>
      </c>
      <c r="G13" s="96">
        <v>0.2</v>
      </c>
      <c r="H13" s="68">
        <f t="shared" si="1"/>
        <v>94000000</v>
      </c>
      <c r="I13" s="68">
        <f>IFERROR(__xludf.DUMMYFUNCTION("googlefinance(D13,""price"") "),25495.0)</f>
        <v>25495</v>
      </c>
      <c r="J13" s="68">
        <f t="shared" si="2"/>
        <v>87983245</v>
      </c>
      <c r="K13" s="62">
        <f t="shared" si="3"/>
        <v>0.1871983936</v>
      </c>
      <c r="L13" s="82">
        <f t="shared" si="4"/>
        <v>3686.99745</v>
      </c>
      <c r="M13" s="84">
        <v>3451.0</v>
      </c>
      <c r="N13" s="82">
        <f t="shared" si="5"/>
        <v>235.9974505</v>
      </c>
      <c r="O13" s="86">
        <f t="shared" si="6"/>
        <v>-0.01280160638</v>
      </c>
      <c r="P13" s="62">
        <f t="shared" si="7"/>
        <v>0.06400803191</v>
      </c>
      <c r="Q13" s="44"/>
    </row>
    <row r="14">
      <c r="A14" s="61" t="s">
        <v>91</v>
      </c>
      <c r="B14" s="51" t="s">
        <v>52</v>
      </c>
      <c r="C14" s="51" t="s">
        <v>92</v>
      </c>
      <c r="D14" s="51" t="s">
        <v>93</v>
      </c>
      <c r="E14" s="51" t="s">
        <v>94</v>
      </c>
      <c r="F14" s="62">
        <v>0.145</v>
      </c>
      <c r="G14" s="96">
        <v>0.15</v>
      </c>
      <c r="H14" s="68">
        <f t="shared" si="1"/>
        <v>70500000</v>
      </c>
      <c r="I14" s="68">
        <f>IFERROR(__xludf.DUMMYFUNCTION("googlefinance(D14,""price"") "),8300.0)</f>
        <v>8300</v>
      </c>
      <c r="J14" s="68">
        <f t="shared" si="2"/>
        <v>65487000</v>
      </c>
      <c r="K14" s="62">
        <f t="shared" si="3"/>
        <v>0.1393340426</v>
      </c>
      <c r="L14" s="82">
        <f t="shared" si="4"/>
        <v>8493.975904</v>
      </c>
      <c r="M14" s="84">
        <v>7890.0</v>
      </c>
      <c r="N14" s="82">
        <f t="shared" si="5"/>
        <v>603.9759036</v>
      </c>
      <c r="O14" s="86">
        <f t="shared" si="6"/>
        <v>-0.01066595745</v>
      </c>
      <c r="P14" s="62">
        <f t="shared" si="7"/>
        <v>0.07110638298</v>
      </c>
      <c r="Q14" s="44"/>
    </row>
    <row r="15">
      <c r="A15" s="88"/>
      <c r="B15" s="51" t="s">
        <v>69</v>
      </c>
      <c r="C15" s="51" t="s">
        <v>98</v>
      </c>
      <c r="D15" s="51" t="s">
        <v>99</v>
      </c>
      <c r="E15" s="51" t="s">
        <v>100</v>
      </c>
      <c r="F15" s="62">
        <v>0.155</v>
      </c>
      <c r="G15" s="96">
        <v>0.14</v>
      </c>
      <c r="H15" s="68">
        <f t="shared" si="1"/>
        <v>65800000</v>
      </c>
      <c r="I15" s="68">
        <f>IFERROR(__xludf.DUMMYFUNCTION("googlefinance(D15,""price"") "),51245.0)</f>
        <v>51245</v>
      </c>
      <c r="J15" s="68">
        <f t="shared" si="2"/>
        <v>67079705</v>
      </c>
      <c r="K15" s="62">
        <f t="shared" si="3"/>
        <v>0.1427227766</v>
      </c>
      <c r="L15" s="82">
        <f t="shared" si="4"/>
        <v>1284.02771</v>
      </c>
      <c r="M15" s="60">
        <v>1309.0</v>
      </c>
      <c r="N15" s="82">
        <f t="shared" si="5"/>
        <v>-24.97228998</v>
      </c>
      <c r="O15" s="86">
        <f t="shared" si="6"/>
        <v>0.002722776596</v>
      </c>
      <c r="P15" s="62">
        <f t="shared" si="7"/>
        <v>0.01944840426</v>
      </c>
      <c r="Q15" s="44"/>
    </row>
    <row r="16">
      <c r="A16" s="51"/>
      <c r="B16" s="51"/>
      <c r="C16" s="51" t="s">
        <v>102</v>
      </c>
      <c r="D16" s="51" t="s">
        <v>103</v>
      </c>
      <c r="E16" s="51" t="s">
        <v>104</v>
      </c>
      <c r="F16" s="62">
        <v>0.03</v>
      </c>
      <c r="G16" s="62">
        <v>0.03</v>
      </c>
      <c r="H16" s="68">
        <f t="shared" si="1"/>
        <v>14100000</v>
      </c>
      <c r="I16" s="68">
        <f>IFERROR(__xludf.DUMMYFUNCTION("googlefinance(D16,""price"") "),54535.0)</f>
        <v>54535</v>
      </c>
      <c r="J16" s="68">
        <f t="shared" si="2"/>
        <v>12815725</v>
      </c>
      <c r="K16" s="62">
        <f t="shared" si="3"/>
        <v>0.0272675</v>
      </c>
      <c r="L16" s="82">
        <f t="shared" si="4"/>
        <v>258.5495553</v>
      </c>
      <c r="M16" s="84">
        <v>235.0</v>
      </c>
      <c r="N16" s="82">
        <f t="shared" si="5"/>
        <v>23.54955533</v>
      </c>
      <c r="O16" s="86">
        <f t="shared" si="6"/>
        <v>-0.0027325</v>
      </c>
      <c r="P16" s="62">
        <f t="shared" si="7"/>
        <v>0.09108333333</v>
      </c>
      <c r="Q16" s="44"/>
    </row>
    <row r="17">
      <c r="G17" s="34">
        <v>46210.0</v>
      </c>
      <c r="H17" s="100">
        <v>4.7E8</v>
      </c>
      <c r="I17" s="102" t="s">
        <v>108</v>
      </c>
      <c r="J17" s="104">
        <f>SUM(J7:J16)</f>
        <v>453774435</v>
      </c>
      <c r="Q17" s="44"/>
    </row>
    <row r="18">
      <c r="H18" s="48"/>
      <c r="Q18" s="44"/>
    </row>
    <row r="19">
      <c r="H19" s="48"/>
      <c r="Q19" s="44"/>
    </row>
    <row r="20">
      <c r="Q20" s="44"/>
    </row>
    <row r="21">
      <c r="A21" s="106" t="s">
        <v>113</v>
      </c>
      <c r="C21" s="107"/>
      <c r="Q21" s="44"/>
    </row>
    <row r="22">
      <c r="A22" s="106" t="s">
        <v>115</v>
      </c>
      <c r="B22" s="106"/>
      <c r="C22" s="106"/>
      <c r="Q22" s="44"/>
    </row>
    <row r="23">
      <c r="A23" s="108"/>
      <c r="B23" s="106" t="s">
        <v>117</v>
      </c>
      <c r="C23" s="106"/>
      <c r="Q23" s="44"/>
    </row>
    <row r="24">
      <c r="A24" s="109" t="s">
        <v>118</v>
      </c>
      <c r="Q24" s="44"/>
    </row>
    <row r="25">
      <c r="A25" s="109" t="s">
        <v>120</v>
      </c>
      <c r="Q25" s="44"/>
    </row>
    <row r="26">
      <c r="A26" s="107"/>
      <c r="B26" s="107"/>
      <c r="C26" s="107"/>
      <c r="Q26" s="44"/>
    </row>
    <row r="27">
      <c r="A27" s="106" t="s">
        <v>121</v>
      </c>
      <c r="Q27" s="44"/>
    </row>
    <row r="28">
      <c r="A28" s="109" t="s">
        <v>122</v>
      </c>
      <c r="B28" s="109"/>
      <c r="C28" s="109"/>
      <c r="Q28" s="44"/>
    </row>
    <row r="29">
      <c r="A29" s="109" t="s">
        <v>123</v>
      </c>
      <c r="B29" s="109"/>
      <c r="C29" s="109"/>
      <c r="Q29" s="44"/>
    </row>
    <row r="30">
      <c r="A30" s="109" t="s">
        <v>124</v>
      </c>
      <c r="B30" s="109"/>
      <c r="C30" s="109"/>
      <c r="Q30" s="44"/>
    </row>
    <row r="31">
      <c r="Q31" s="44"/>
    </row>
    <row r="32">
      <c r="A32" s="110" t="s">
        <v>126</v>
      </c>
      <c r="Q32" s="44"/>
    </row>
    <row r="33">
      <c r="A33" s="111" t="s">
        <v>127</v>
      </c>
      <c r="Q33" s="44"/>
    </row>
    <row r="34">
      <c r="A34" s="111" t="s">
        <v>128</v>
      </c>
      <c r="Q34" s="44"/>
    </row>
    <row r="35">
      <c r="A35" s="111" t="s">
        <v>129</v>
      </c>
      <c r="Q35" s="44"/>
    </row>
    <row r="36">
      <c r="A36" s="111" t="s">
        <v>130</v>
      </c>
      <c r="Q36" s="44"/>
    </row>
    <row r="37">
      <c r="Q37" s="44"/>
    </row>
    <row r="38">
      <c r="Q38" s="44"/>
    </row>
    <row r="39">
      <c r="Q39" s="44"/>
    </row>
    <row r="40">
      <c r="Q40" s="44"/>
    </row>
    <row r="41">
      <c r="Q41" s="44"/>
    </row>
    <row r="42">
      <c r="Q42" s="44"/>
    </row>
    <row r="43">
      <c r="Q43" s="44"/>
    </row>
    <row r="44">
      <c r="Q44" s="44"/>
    </row>
    <row r="45">
      <c r="Q45" s="44"/>
    </row>
    <row r="46">
      <c r="Q46" s="44"/>
    </row>
    <row r="47">
      <c r="Q47" s="44"/>
    </row>
    <row r="48">
      <c r="Q48" s="44"/>
    </row>
    <row r="49">
      <c r="Q49" s="44"/>
    </row>
    <row r="50">
      <c r="Q50" s="44"/>
    </row>
    <row r="51">
      <c r="Q51" s="44"/>
    </row>
    <row r="52">
      <c r="Q52" s="44"/>
    </row>
    <row r="53">
      <c r="Q53" s="44"/>
    </row>
    <row r="54">
      <c r="Q54" s="44"/>
    </row>
    <row r="55">
      <c r="Q55" s="44"/>
    </row>
    <row r="56">
      <c r="Q56" s="44"/>
    </row>
    <row r="57">
      <c r="Q57" s="44"/>
    </row>
    <row r="58">
      <c r="Q58" s="44"/>
    </row>
    <row r="59">
      <c r="Q59" s="44"/>
    </row>
    <row r="60">
      <c r="Q60" s="44"/>
    </row>
    <row r="61">
      <c r="Q61" s="44"/>
    </row>
    <row r="62">
      <c r="Q62" s="44"/>
    </row>
    <row r="63">
      <c r="Q63" s="44"/>
    </row>
    <row r="64">
      <c r="Q64" s="44"/>
    </row>
    <row r="65">
      <c r="Q65" s="44"/>
    </row>
    <row r="66">
      <c r="Q66" s="44"/>
    </row>
    <row r="67">
      <c r="Q67" s="44"/>
    </row>
    <row r="68">
      <c r="Q68" s="44"/>
    </row>
    <row r="69">
      <c r="Q69" s="44"/>
    </row>
    <row r="70">
      <c r="Q70" s="44"/>
    </row>
    <row r="71">
      <c r="Q71" s="44"/>
    </row>
    <row r="72">
      <c r="Q72" s="44"/>
    </row>
    <row r="73">
      <c r="Q73" s="44"/>
    </row>
    <row r="74">
      <c r="Q74" s="44"/>
    </row>
    <row r="75">
      <c r="Q75" s="44"/>
    </row>
    <row r="76">
      <c r="Q76" s="44"/>
    </row>
    <row r="77">
      <c r="Q77" s="44"/>
    </row>
    <row r="78">
      <c r="Q78" s="44"/>
    </row>
    <row r="79">
      <c r="Q79" s="44"/>
    </row>
    <row r="80">
      <c r="Q80" s="44"/>
    </row>
    <row r="81">
      <c r="Q81" s="44"/>
    </row>
    <row r="82">
      <c r="Q82" s="44"/>
    </row>
    <row r="83">
      <c r="Q83" s="44"/>
    </row>
    <row r="84">
      <c r="Q84" s="44"/>
    </row>
    <row r="85">
      <c r="Q85" s="44"/>
    </row>
    <row r="86">
      <c r="Q86" s="44"/>
    </row>
    <row r="87">
      <c r="Q87" s="44"/>
    </row>
    <row r="88">
      <c r="Q88" s="44"/>
    </row>
    <row r="89">
      <c r="Q89" s="44"/>
    </row>
    <row r="90">
      <c r="Q90" s="44"/>
    </row>
    <row r="91">
      <c r="Q91" s="44"/>
    </row>
    <row r="92">
      <c r="Q92" s="44"/>
    </row>
    <row r="93">
      <c r="Q93" s="44"/>
    </row>
    <row r="94">
      <c r="Q94" s="44"/>
    </row>
    <row r="95">
      <c r="Q95" s="44"/>
    </row>
    <row r="96">
      <c r="Q96" s="44"/>
    </row>
    <row r="97">
      <c r="Q97" s="44"/>
    </row>
    <row r="98">
      <c r="Q98" s="44"/>
    </row>
    <row r="99">
      <c r="Q99" s="44"/>
    </row>
    <row r="100">
      <c r="Q100" s="44"/>
    </row>
    <row r="101">
      <c r="Q101" s="44"/>
    </row>
    <row r="102">
      <c r="Q102" s="44"/>
    </row>
    <row r="103">
      <c r="Q103" s="44"/>
    </row>
    <row r="104">
      <c r="Q104" s="44"/>
    </row>
    <row r="105">
      <c r="Q105" s="44"/>
    </row>
    <row r="106">
      <c r="Q106" s="44"/>
    </row>
    <row r="107">
      <c r="Q107" s="44"/>
    </row>
    <row r="108">
      <c r="Q108" s="44"/>
    </row>
    <row r="109">
      <c r="Q109" s="44"/>
    </row>
    <row r="110">
      <c r="Q110" s="44"/>
    </row>
    <row r="111">
      <c r="Q111" s="44"/>
    </row>
    <row r="112">
      <c r="Q112" s="44"/>
    </row>
    <row r="113">
      <c r="Q113" s="44"/>
    </row>
    <row r="114">
      <c r="Q114" s="44"/>
    </row>
    <row r="115">
      <c r="Q115" s="44"/>
    </row>
    <row r="116">
      <c r="Q116" s="44"/>
    </row>
    <row r="117">
      <c r="Q117" s="44"/>
    </row>
    <row r="118">
      <c r="Q118" s="44"/>
    </row>
    <row r="119">
      <c r="Q119" s="44"/>
    </row>
    <row r="120">
      <c r="Q120" s="44"/>
    </row>
    <row r="121">
      <c r="Q121" s="44"/>
    </row>
    <row r="122">
      <c r="Q122" s="44"/>
    </row>
    <row r="123">
      <c r="Q123" s="44"/>
    </row>
    <row r="124">
      <c r="Q124" s="44"/>
    </row>
    <row r="125">
      <c r="Q125" s="44"/>
    </row>
    <row r="126">
      <c r="Q126" s="44"/>
    </row>
    <row r="127">
      <c r="Q127" s="44"/>
    </row>
    <row r="128">
      <c r="Q128" s="44"/>
    </row>
    <row r="129">
      <c r="Q129" s="44"/>
    </row>
    <row r="130">
      <c r="Q130" s="44"/>
    </row>
    <row r="131">
      <c r="Q131" s="44"/>
    </row>
    <row r="132">
      <c r="Q132" s="44"/>
    </row>
    <row r="133">
      <c r="Q133" s="44"/>
    </row>
    <row r="134">
      <c r="Q134" s="44"/>
    </row>
    <row r="135">
      <c r="Q135" s="44"/>
    </row>
    <row r="136">
      <c r="Q136" s="44"/>
    </row>
    <row r="137">
      <c r="Q137" s="44"/>
    </row>
    <row r="138">
      <c r="Q138" s="44"/>
    </row>
    <row r="139">
      <c r="Q139" s="44"/>
    </row>
    <row r="140">
      <c r="Q140" s="44"/>
    </row>
    <row r="141">
      <c r="Q141" s="44"/>
    </row>
    <row r="142">
      <c r="Q142" s="44"/>
    </row>
    <row r="143">
      <c r="Q143" s="44"/>
    </row>
    <row r="144">
      <c r="Q144" s="44"/>
    </row>
    <row r="145">
      <c r="Q145" s="44"/>
    </row>
    <row r="146">
      <c r="Q146" s="44"/>
    </row>
    <row r="147">
      <c r="Q147" s="44"/>
    </row>
    <row r="148">
      <c r="Q148" s="44"/>
    </row>
    <row r="149">
      <c r="Q149" s="44"/>
    </row>
    <row r="150">
      <c r="Q150" s="44"/>
    </row>
    <row r="151">
      <c r="Q151" s="44"/>
    </row>
    <row r="152">
      <c r="Q152" s="44"/>
    </row>
    <row r="153">
      <c r="Q153" s="44"/>
    </row>
    <row r="154">
      <c r="Q154" s="44"/>
    </row>
    <row r="155">
      <c r="Q155" s="44"/>
    </row>
    <row r="156">
      <c r="Q156" s="44"/>
    </row>
    <row r="157">
      <c r="Q157" s="44"/>
    </row>
    <row r="158">
      <c r="Q158" s="44"/>
    </row>
    <row r="159">
      <c r="Q159" s="44"/>
    </row>
    <row r="160">
      <c r="Q160" s="44"/>
    </row>
    <row r="161">
      <c r="Q161" s="44"/>
    </row>
    <row r="162">
      <c r="Q162" s="44"/>
    </row>
    <row r="163">
      <c r="Q163" s="44"/>
    </row>
    <row r="164">
      <c r="Q164" s="44"/>
    </row>
    <row r="165">
      <c r="Q165" s="44"/>
    </row>
    <row r="166">
      <c r="Q166" s="44"/>
    </row>
    <row r="167">
      <c r="Q167" s="44"/>
    </row>
    <row r="168">
      <c r="Q168" s="44"/>
    </row>
    <row r="169">
      <c r="Q169" s="44"/>
    </row>
    <row r="170">
      <c r="Q170" s="44"/>
    </row>
    <row r="171">
      <c r="Q171" s="44"/>
    </row>
    <row r="172">
      <c r="Q172" s="44"/>
    </row>
    <row r="173">
      <c r="Q173" s="44"/>
    </row>
    <row r="174">
      <c r="Q174" s="44"/>
    </row>
    <row r="175">
      <c r="Q175" s="44"/>
    </row>
    <row r="176">
      <c r="Q176" s="44"/>
    </row>
    <row r="177">
      <c r="Q177" s="44"/>
    </row>
    <row r="178">
      <c r="Q178" s="44"/>
    </row>
    <row r="179">
      <c r="Q179" s="44"/>
    </row>
    <row r="180">
      <c r="Q180" s="44"/>
    </row>
    <row r="181">
      <c r="Q181" s="44"/>
    </row>
    <row r="182">
      <c r="Q182" s="44"/>
    </row>
    <row r="183">
      <c r="Q183" s="44"/>
    </row>
    <row r="184">
      <c r="Q184" s="44"/>
    </row>
    <row r="185">
      <c r="Q185" s="44"/>
    </row>
    <row r="186">
      <c r="Q186" s="44"/>
    </row>
    <row r="187">
      <c r="Q187" s="44"/>
    </row>
    <row r="188">
      <c r="Q188" s="44"/>
    </row>
    <row r="189">
      <c r="Q189" s="44"/>
    </row>
    <row r="190">
      <c r="Q190" s="44"/>
    </row>
    <row r="191">
      <c r="Q191" s="44"/>
    </row>
    <row r="192">
      <c r="Q192" s="44"/>
    </row>
    <row r="193">
      <c r="Q193" s="44"/>
    </row>
    <row r="194">
      <c r="Q194" s="44"/>
    </row>
    <row r="195">
      <c r="Q195" s="44"/>
    </row>
    <row r="196">
      <c r="Q196" s="44"/>
    </row>
    <row r="197">
      <c r="Q197" s="44"/>
    </row>
    <row r="198">
      <c r="Q198" s="44"/>
    </row>
    <row r="199">
      <c r="Q199" s="44"/>
    </row>
    <row r="200">
      <c r="Q200" s="44"/>
    </row>
    <row r="201">
      <c r="Q201" s="44"/>
    </row>
    <row r="202">
      <c r="Q202" s="44"/>
    </row>
    <row r="203">
      <c r="Q203" s="44"/>
    </row>
    <row r="204">
      <c r="Q204" s="44"/>
    </row>
    <row r="205">
      <c r="Q205" s="44"/>
    </row>
    <row r="206">
      <c r="Q206" s="44"/>
    </row>
    <row r="207">
      <c r="Q207" s="44"/>
    </row>
    <row r="208">
      <c r="Q208" s="44"/>
    </row>
    <row r="209">
      <c r="Q209" s="44"/>
    </row>
    <row r="210">
      <c r="Q210" s="44"/>
    </row>
    <row r="211">
      <c r="Q211" s="44"/>
    </row>
    <row r="212">
      <c r="Q212" s="44"/>
    </row>
    <row r="213">
      <c r="Q213" s="44"/>
    </row>
    <row r="214">
      <c r="Q214" s="44"/>
    </row>
    <row r="215">
      <c r="Q215" s="44"/>
    </row>
    <row r="216">
      <c r="Q216" s="44"/>
    </row>
    <row r="217">
      <c r="Q217" s="44"/>
    </row>
    <row r="218">
      <c r="Q218" s="44"/>
    </row>
    <row r="219">
      <c r="Q219" s="44"/>
    </row>
    <row r="220">
      <c r="Q220" s="44"/>
    </row>
    <row r="221">
      <c r="Q221" s="44"/>
    </row>
    <row r="222">
      <c r="Q222" s="44"/>
    </row>
    <row r="223">
      <c r="Q223" s="44"/>
    </row>
    <row r="224">
      <c r="Q224" s="44"/>
    </row>
    <row r="225">
      <c r="Q225" s="44"/>
    </row>
    <row r="226">
      <c r="Q226" s="44"/>
    </row>
    <row r="227">
      <c r="Q227" s="44"/>
    </row>
    <row r="228">
      <c r="Q228" s="44"/>
    </row>
    <row r="229">
      <c r="Q229" s="44"/>
    </row>
    <row r="230">
      <c r="Q230" s="44"/>
    </row>
    <row r="231">
      <c r="Q231" s="44"/>
    </row>
    <row r="232">
      <c r="Q232" s="44"/>
    </row>
    <row r="233">
      <c r="Q233" s="44"/>
    </row>
    <row r="234">
      <c r="Q234" s="44"/>
    </row>
    <row r="235">
      <c r="Q235" s="44"/>
    </row>
    <row r="236">
      <c r="Q236" s="44"/>
    </row>
    <row r="237">
      <c r="Q237" s="44"/>
    </row>
    <row r="238">
      <c r="Q238" s="44"/>
    </row>
    <row r="239">
      <c r="Q239" s="44"/>
    </row>
    <row r="240">
      <c r="Q240" s="44"/>
    </row>
    <row r="241">
      <c r="Q241" s="44"/>
    </row>
    <row r="242">
      <c r="Q242" s="44"/>
    </row>
    <row r="243">
      <c r="Q243" s="44"/>
    </row>
    <row r="244">
      <c r="Q244" s="44"/>
    </row>
    <row r="245">
      <c r="Q245" s="44"/>
    </row>
    <row r="246">
      <c r="Q246" s="44"/>
    </row>
    <row r="247">
      <c r="Q247" s="44"/>
    </row>
    <row r="248">
      <c r="Q248" s="44"/>
    </row>
    <row r="249">
      <c r="Q249" s="44"/>
    </row>
    <row r="250">
      <c r="Q250" s="44"/>
    </row>
    <row r="251">
      <c r="Q251" s="44"/>
    </row>
    <row r="252">
      <c r="Q252" s="44"/>
    </row>
    <row r="253">
      <c r="Q253" s="44"/>
    </row>
    <row r="254">
      <c r="Q254" s="44"/>
    </row>
    <row r="255">
      <c r="Q255" s="44"/>
    </row>
    <row r="256">
      <c r="Q256" s="44"/>
    </row>
    <row r="257">
      <c r="Q257" s="44"/>
    </row>
    <row r="258">
      <c r="Q258" s="44"/>
    </row>
    <row r="259">
      <c r="Q259" s="44"/>
    </row>
    <row r="260">
      <c r="Q260" s="44"/>
    </row>
    <row r="261">
      <c r="Q261" s="44"/>
    </row>
    <row r="262">
      <c r="Q262" s="44"/>
    </row>
    <row r="263">
      <c r="Q263" s="44"/>
    </row>
    <row r="264">
      <c r="Q264" s="44"/>
    </row>
    <row r="265">
      <c r="Q265" s="44"/>
    </row>
    <row r="266">
      <c r="Q266" s="44"/>
    </row>
    <row r="267">
      <c r="Q267" s="44"/>
    </row>
    <row r="268">
      <c r="Q268" s="44"/>
    </row>
    <row r="269">
      <c r="Q269" s="44"/>
    </row>
    <row r="270">
      <c r="Q270" s="44"/>
    </row>
    <row r="271">
      <c r="Q271" s="44"/>
    </row>
    <row r="272">
      <c r="Q272" s="44"/>
    </row>
    <row r="273">
      <c r="Q273" s="44"/>
    </row>
    <row r="274">
      <c r="Q274" s="44"/>
    </row>
    <row r="275">
      <c r="Q275" s="44"/>
    </row>
    <row r="276">
      <c r="Q276" s="44"/>
    </row>
    <row r="277">
      <c r="Q277" s="44"/>
    </row>
    <row r="278">
      <c r="Q278" s="44"/>
    </row>
    <row r="279">
      <c r="Q279" s="44"/>
    </row>
    <row r="280">
      <c r="Q280" s="44"/>
    </row>
    <row r="281">
      <c r="Q281" s="44"/>
    </row>
    <row r="282">
      <c r="Q282" s="44"/>
    </row>
    <row r="283">
      <c r="Q283" s="44"/>
    </row>
    <row r="284">
      <c r="Q284" s="44"/>
    </row>
    <row r="285">
      <c r="Q285" s="44"/>
    </row>
    <row r="286">
      <c r="Q286" s="44"/>
    </row>
    <row r="287">
      <c r="Q287" s="44"/>
    </row>
    <row r="288">
      <c r="Q288" s="44"/>
    </row>
    <row r="289">
      <c r="Q289" s="44"/>
    </row>
    <row r="290">
      <c r="Q290" s="44"/>
    </row>
    <row r="291">
      <c r="Q291" s="44"/>
    </row>
    <row r="292">
      <c r="Q292" s="44"/>
    </row>
    <row r="293">
      <c r="Q293" s="44"/>
    </row>
    <row r="294">
      <c r="Q294" s="44"/>
    </row>
    <row r="295">
      <c r="Q295" s="44"/>
    </row>
    <row r="296">
      <c r="Q296" s="44"/>
    </row>
    <row r="297">
      <c r="Q297" s="44"/>
    </row>
    <row r="298">
      <c r="Q298" s="44"/>
    </row>
    <row r="299">
      <c r="Q299" s="44"/>
    </row>
    <row r="300">
      <c r="Q300" s="44"/>
    </row>
    <row r="301">
      <c r="Q301" s="44"/>
    </row>
    <row r="302">
      <c r="Q302" s="44"/>
    </row>
    <row r="303">
      <c r="Q303" s="44"/>
    </row>
    <row r="304">
      <c r="Q304" s="44"/>
    </row>
    <row r="305">
      <c r="Q305" s="44"/>
    </row>
    <row r="306">
      <c r="Q306" s="44"/>
    </row>
    <row r="307">
      <c r="Q307" s="44"/>
    </row>
    <row r="308">
      <c r="Q308" s="44"/>
    </row>
    <row r="309">
      <c r="Q309" s="44"/>
    </row>
    <row r="310">
      <c r="Q310" s="44"/>
    </row>
    <row r="311">
      <c r="Q311" s="44"/>
    </row>
    <row r="312">
      <c r="Q312" s="44"/>
    </row>
    <row r="313">
      <c r="Q313" s="44"/>
    </row>
    <row r="314">
      <c r="Q314" s="44"/>
    </row>
    <row r="315">
      <c r="Q315" s="44"/>
    </row>
    <row r="316">
      <c r="Q316" s="44"/>
    </row>
    <row r="317">
      <c r="Q317" s="44"/>
    </row>
    <row r="318">
      <c r="Q318" s="44"/>
    </row>
    <row r="319">
      <c r="Q319" s="44"/>
    </row>
    <row r="320">
      <c r="Q320" s="44"/>
    </row>
    <row r="321">
      <c r="Q321" s="44"/>
    </row>
    <row r="322">
      <c r="Q322" s="44"/>
    </row>
    <row r="323">
      <c r="Q323" s="44"/>
    </row>
    <row r="324">
      <c r="Q324" s="44"/>
    </row>
    <row r="325">
      <c r="Q325" s="44"/>
    </row>
    <row r="326">
      <c r="Q326" s="44"/>
    </row>
    <row r="327">
      <c r="Q327" s="44"/>
    </row>
    <row r="328">
      <c r="Q328" s="44"/>
    </row>
    <row r="329">
      <c r="Q329" s="44"/>
    </row>
    <row r="330">
      <c r="Q330" s="44"/>
    </row>
    <row r="331">
      <c r="Q331" s="44"/>
    </row>
    <row r="332">
      <c r="Q332" s="44"/>
    </row>
    <row r="333">
      <c r="Q333" s="44"/>
    </row>
    <row r="334">
      <c r="Q334" s="44"/>
    </row>
    <row r="335">
      <c r="Q335" s="44"/>
    </row>
    <row r="336">
      <c r="Q336" s="44"/>
    </row>
    <row r="337">
      <c r="Q337" s="44"/>
    </row>
    <row r="338">
      <c r="Q338" s="44"/>
    </row>
    <row r="339">
      <c r="Q339" s="44"/>
    </row>
    <row r="340">
      <c r="Q340" s="44"/>
    </row>
    <row r="341">
      <c r="Q341" s="44"/>
    </row>
    <row r="342">
      <c r="Q342" s="44"/>
    </row>
    <row r="343">
      <c r="Q343" s="44"/>
    </row>
    <row r="344">
      <c r="Q344" s="44"/>
    </row>
    <row r="345">
      <c r="Q345" s="44"/>
    </row>
    <row r="346">
      <c r="Q346" s="44"/>
    </row>
    <row r="347">
      <c r="Q347" s="44"/>
    </row>
    <row r="348">
      <c r="Q348" s="44"/>
    </row>
    <row r="349">
      <c r="Q349" s="44"/>
    </row>
    <row r="350">
      <c r="Q350" s="44"/>
    </row>
    <row r="351">
      <c r="Q351" s="44"/>
    </row>
    <row r="352">
      <c r="Q352" s="44"/>
    </row>
    <row r="353">
      <c r="Q353" s="44"/>
    </row>
    <row r="354">
      <c r="Q354" s="44"/>
    </row>
    <row r="355">
      <c r="Q355" s="44"/>
    </row>
    <row r="356">
      <c r="Q356" s="44"/>
    </row>
    <row r="357">
      <c r="Q357" s="44"/>
    </row>
    <row r="358">
      <c r="Q358" s="44"/>
    </row>
    <row r="359">
      <c r="Q359" s="44"/>
    </row>
    <row r="360">
      <c r="Q360" s="44"/>
    </row>
    <row r="361">
      <c r="Q361" s="44"/>
    </row>
    <row r="362">
      <c r="Q362" s="44"/>
    </row>
    <row r="363">
      <c r="Q363" s="44"/>
    </row>
    <row r="364">
      <c r="Q364" s="44"/>
    </row>
    <row r="365">
      <c r="Q365" s="44"/>
    </row>
    <row r="366">
      <c r="Q366" s="44"/>
    </row>
    <row r="367">
      <c r="Q367" s="44"/>
    </row>
    <row r="368">
      <c r="Q368" s="44"/>
    </row>
    <row r="369">
      <c r="Q369" s="44"/>
    </row>
    <row r="370">
      <c r="Q370" s="44"/>
    </row>
    <row r="371">
      <c r="Q371" s="44"/>
    </row>
    <row r="372">
      <c r="Q372" s="44"/>
    </row>
    <row r="373">
      <c r="Q373" s="44"/>
    </row>
    <row r="374">
      <c r="Q374" s="44"/>
    </row>
    <row r="375">
      <c r="Q375" s="44"/>
    </row>
    <row r="376">
      <c r="Q376" s="44"/>
    </row>
    <row r="377">
      <c r="Q377" s="44"/>
    </row>
    <row r="378">
      <c r="Q378" s="44"/>
    </row>
    <row r="379">
      <c r="Q379" s="44"/>
    </row>
    <row r="380">
      <c r="Q380" s="44"/>
    </row>
    <row r="381">
      <c r="Q381" s="44"/>
    </row>
    <row r="382">
      <c r="Q382" s="44"/>
    </row>
    <row r="383">
      <c r="Q383" s="44"/>
    </row>
    <row r="384">
      <c r="Q384" s="44"/>
    </row>
    <row r="385">
      <c r="Q385" s="44"/>
    </row>
    <row r="386">
      <c r="Q386" s="44"/>
    </row>
    <row r="387">
      <c r="Q387" s="44"/>
    </row>
    <row r="388">
      <c r="Q388" s="44"/>
    </row>
    <row r="389">
      <c r="Q389" s="44"/>
    </row>
    <row r="390">
      <c r="Q390" s="44"/>
    </row>
    <row r="391">
      <c r="Q391" s="44"/>
    </row>
    <row r="392">
      <c r="Q392" s="44"/>
    </row>
    <row r="393">
      <c r="Q393" s="44"/>
    </row>
    <row r="394">
      <c r="Q394" s="44"/>
    </row>
    <row r="395">
      <c r="Q395" s="44"/>
    </row>
    <row r="396">
      <c r="Q396" s="44"/>
    </row>
    <row r="397">
      <c r="Q397" s="44"/>
    </row>
    <row r="398">
      <c r="Q398" s="44"/>
    </row>
    <row r="399">
      <c r="Q399" s="44"/>
    </row>
    <row r="400">
      <c r="Q400" s="44"/>
    </row>
    <row r="401">
      <c r="Q401" s="44"/>
    </row>
    <row r="402">
      <c r="Q402" s="44"/>
    </row>
    <row r="403">
      <c r="Q403" s="44"/>
    </row>
    <row r="404">
      <c r="Q404" s="44"/>
    </row>
    <row r="405">
      <c r="Q405" s="44"/>
    </row>
    <row r="406">
      <c r="Q406" s="44"/>
    </row>
    <row r="407">
      <c r="Q407" s="44"/>
    </row>
    <row r="408">
      <c r="Q408" s="44"/>
    </row>
    <row r="409">
      <c r="Q409" s="44"/>
    </row>
    <row r="410">
      <c r="Q410" s="44"/>
    </row>
    <row r="411">
      <c r="Q411" s="44"/>
    </row>
    <row r="412">
      <c r="Q412" s="44"/>
    </row>
    <row r="413">
      <c r="Q413" s="44"/>
    </row>
    <row r="414">
      <c r="Q414" s="44"/>
    </row>
    <row r="415">
      <c r="Q415" s="44"/>
    </row>
    <row r="416">
      <c r="Q416" s="44"/>
    </row>
    <row r="417">
      <c r="Q417" s="44"/>
    </row>
    <row r="418">
      <c r="Q418" s="44"/>
    </row>
    <row r="419">
      <c r="Q419" s="44"/>
    </row>
    <row r="420">
      <c r="Q420" s="44"/>
    </row>
    <row r="421">
      <c r="Q421" s="44"/>
    </row>
    <row r="422">
      <c r="Q422" s="44"/>
    </row>
    <row r="423">
      <c r="Q423" s="44"/>
    </row>
    <row r="424">
      <c r="Q424" s="44"/>
    </row>
    <row r="425">
      <c r="Q425" s="44"/>
    </row>
    <row r="426">
      <c r="Q426" s="44"/>
    </row>
    <row r="427">
      <c r="Q427" s="44"/>
    </row>
    <row r="428">
      <c r="Q428" s="44"/>
    </row>
    <row r="429">
      <c r="Q429" s="44"/>
    </row>
    <row r="430">
      <c r="Q430" s="44"/>
    </row>
    <row r="431">
      <c r="Q431" s="44"/>
    </row>
    <row r="432">
      <c r="Q432" s="44"/>
    </row>
    <row r="433">
      <c r="Q433" s="44"/>
    </row>
    <row r="434">
      <c r="Q434" s="44"/>
    </row>
    <row r="435">
      <c r="Q435" s="44"/>
    </row>
    <row r="436">
      <c r="Q436" s="44"/>
    </row>
    <row r="437">
      <c r="Q437" s="44"/>
    </row>
    <row r="438">
      <c r="Q438" s="44"/>
    </row>
    <row r="439">
      <c r="Q439" s="44"/>
    </row>
    <row r="440">
      <c r="Q440" s="44"/>
    </row>
    <row r="441">
      <c r="Q441" s="44"/>
    </row>
    <row r="442">
      <c r="Q442" s="44"/>
    </row>
    <row r="443">
      <c r="Q443" s="44"/>
    </row>
    <row r="444">
      <c r="Q444" s="44"/>
    </row>
    <row r="445">
      <c r="Q445" s="44"/>
    </row>
    <row r="446">
      <c r="Q446" s="44"/>
    </row>
    <row r="447">
      <c r="Q447" s="44"/>
    </row>
    <row r="448">
      <c r="Q448" s="44"/>
    </row>
    <row r="449">
      <c r="Q449" s="44"/>
    </row>
    <row r="450">
      <c r="Q450" s="44"/>
    </row>
    <row r="451">
      <c r="Q451" s="44"/>
    </row>
    <row r="452">
      <c r="Q452" s="44"/>
    </row>
    <row r="453">
      <c r="Q453" s="44"/>
    </row>
    <row r="454">
      <c r="Q454" s="44"/>
    </row>
    <row r="455">
      <c r="Q455" s="44"/>
    </row>
    <row r="456">
      <c r="Q456" s="44"/>
    </row>
    <row r="457">
      <c r="Q457" s="44"/>
    </row>
    <row r="458">
      <c r="Q458" s="44"/>
    </row>
    <row r="459">
      <c r="Q459" s="44"/>
    </row>
    <row r="460">
      <c r="Q460" s="44"/>
    </row>
    <row r="461">
      <c r="Q461" s="44"/>
    </row>
    <row r="462">
      <c r="Q462" s="44"/>
    </row>
    <row r="463">
      <c r="Q463" s="44"/>
    </row>
    <row r="464">
      <c r="Q464" s="44"/>
    </row>
    <row r="465">
      <c r="Q465" s="44"/>
    </row>
    <row r="466">
      <c r="Q466" s="44"/>
    </row>
    <row r="467">
      <c r="Q467" s="44"/>
    </row>
    <row r="468">
      <c r="Q468" s="44"/>
    </row>
    <row r="469">
      <c r="Q469" s="44"/>
    </row>
    <row r="470">
      <c r="Q470" s="44"/>
    </row>
    <row r="471">
      <c r="Q471" s="44"/>
    </row>
    <row r="472">
      <c r="Q472" s="44"/>
    </row>
    <row r="473">
      <c r="Q473" s="44"/>
    </row>
    <row r="474">
      <c r="Q474" s="44"/>
    </row>
    <row r="475">
      <c r="Q475" s="44"/>
    </row>
    <row r="476">
      <c r="Q476" s="44"/>
    </row>
    <row r="477">
      <c r="Q477" s="44"/>
    </row>
    <row r="478">
      <c r="Q478" s="44"/>
    </row>
    <row r="479">
      <c r="Q479" s="44"/>
    </row>
    <row r="480">
      <c r="Q480" s="44"/>
    </row>
    <row r="481">
      <c r="Q481" s="44"/>
    </row>
    <row r="482">
      <c r="Q482" s="44"/>
    </row>
    <row r="483">
      <c r="Q483" s="44"/>
    </row>
    <row r="484">
      <c r="Q484" s="44"/>
    </row>
    <row r="485">
      <c r="Q485" s="44"/>
    </row>
    <row r="486">
      <c r="Q486" s="44"/>
    </row>
    <row r="487">
      <c r="Q487" s="44"/>
    </row>
    <row r="488">
      <c r="Q488" s="44"/>
    </row>
    <row r="489">
      <c r="Q489" s="44"/>
    </row>
    <row r="490">
      <c r="Q490" s="44"/>
    </row>
    <row r="491">
      <c r="Q491" s="44"/>
    </row>
    <row r="492">
      <c r="Q492" s="44"/>
    </row>
    <row r="493">
      <c r="Q493" s="44"/>
    </row>
    <row r="494">
      <c r="Q494" s="44"/>
    </row>
    <row r="495">
      <c r="Q495" s="44"/>
    </row>
    <row r="496">
      <c r="Q496" s="44"/>
    </row>
    <row r="497">
      <c r="Q497" s="44"/>
    </row>
    <row r="498">
      <c r="Q498" s="44"/>
    </row>
    <row r="499">
      <c r="Q499" s="44"/>
    </row>
    <row r="500">
      <c r="Q500" s="44"/>
    </row>
    <row r="501">
      <c r="Q501" s="44"/>
    </row>
    <row r="502">
      <c r="Q502" s="44"/>
    </row>
    <row r="503">
      <c r="Q503" s="44"/>
    </row>
    <row r="504">
      <c r="Q504" s="44"/>
    </row>
    <row r="505">
      <c r="Q505" s="44"/>
    </row>
    <row r="506">
      <c r="Q506" s="44"/>
    </row>
    <row r="507">
      <c r="Q507" s="44"/>
    </row>
    <row r="508">
      <c r="Q508" s="44"/>
    </row>
    <row r="509">
      <c r="Q509" s="44"/>
    </row>
    <row r="510">
      <c r="Q510" s="44"/>
    </row>
    <row r="511">
      <c r="Q511" s="44"/>
    </row>
    <row r="512">
      <c r="Q512" s="44"/>
    </row>
    <row r="513">
      <c r="Q513" s="44"/>
    </row>
    <row r="514">
      <c r="Q514" s="44"/>
    </row>
    <row r="515">
      <c r="Q515" s="44"/>
    </row>
    <row r="516">
      <c r="Q516" s="44"/>
    </row>
    <row r="517">
      <c r="Q517" s="44"/>
    </row>
    <row r="518">
      <c r="Q518" s="44"/>
    </row>
    <row r="519">
      <c r="Q519" s="44"/>
    </row>
    <row r="520">
      <c r="Q520" s="44"/>
    </row>
    <row r="521">
      <c r="Q521" s="44"/>
    </row>
    <row r="522">
      <c r="Q522" s="44"/>
    </row>
    <row r="523">
      <c r="Q523" s="44"/>
    </row>
    <row r="524">
      <c r="Q524" s="44"/>
    </row>
    <row r="525">
      <c r="Q525" s="44"/>
    </row>
    <row r="526">
      <c r="Q526" s="44"/>
    </row>
    <row r="527">
      <c r="Q527" s="44"/>
    </row>
    <row r="528">
      <c r="Q528" s="44"/>
    </row>
    <row r="529">
      <c r="Q529" s="44"/>
    </row>
    <row r="530">
      <c r="Q530" s="44"/>
    </row>
    <row r="531">
      <c r="Q531" s="44"/>
    </row>
    <row r="532">
      <c r="Q532" s="44"/>
    </row>
    <row r="533">
      <c r="Q533" s="44"/>
    </row>
    <row r="534">
      <c r="Q534" s="44"/>
    </row>
    <row r="535">
      <c r="Q535" s="44"/>
    </row>
    <row r="536">
      <c r="Q536" s="44"/>
    </row>
    <row r="537">
      <c r="Q537" s="44"/>
    </row>
    <row r="538">
      <c r="Q538" s="44"/>
    </row>
    <row r="539">
      <c r="Q539" s="44"/>
    </row>
    <row r="540">
      <c r="Q540" s="44"/>
    </row>
    <row r="541">
      <c r="Q541" s="44"/>
    </row>
    <row r="542">
      <c r="Q542" s="44"/>
    </row>
    <row r="543">
      <c r="Q543" s="44"/>
    </row>
    <row r="544">
      <c r="Q544" s="44"/>
    </row>
    <row r="545">
      <c r="Q545" s="44"/>
    </row>
    <row r="546">
      <c r="Q546" s="44"/>
    </row>
    <row r="547">
      <c r="Q547" s="44"/>
    </row>
    <row r="548">
      <c r="Q548" s="44"/>
    </row>
    <row r="549">
      <c r="Q549" s="44"/>
    </row>
    <row r="550">
      <c r="Q550" s="44"/>
    </row>
    <row r="551">
      <c r="Q551" s="44"/>
    </row>
    <row r="552">
      <c r="Q552" s="44"/>
    </row>
    <row r="553">
      <c r="Q553" s="44"/>
    </row>
    <row r="554">
      <c r="Q554" s="44"/>
    </row>
    <row r="555">
      <c r="Q555" s="44"/>
    </row>
    <row r="556">
      <c r="Q556" s="44"/>
    </row>
    <row r="557">
      <c r="Q557" s="44"/>
    </row>
    <row r="558">
      <c r="Q558" s="44"/>
    </row>
    <row r="559">
      <c r="Q559" s="44"/>
    </row>
    <row r="560">
      <c r="Q560" s="44"/>
    </row>
    <row r="561">
      <c r="Q561" s="44"/>
    </row>
    <row r="562">
      <c r="Q562" s="44"/>
    </row>
    <row r="563">
      <c r="Q563" s="44"/>
    </row>
    <row r="564">
      <c r="Q564" s="44"/>
    </row>
    <row r="565">
      <c r="Q565" s="44"/>
    </row>
    <row r="566">
      <c r="Q566" s="44"/>
    </row>
    <row r="567">
      <c r="Q567" s="44"/>
    </row>
    <row r="568">
      <c r="Q568" s="44"/>
    </row>
    <row r="569">
      <c r="Q569" s="44"/>
    </row>
    <row r="570">
      <c r="Q570" s="44"/>
    </row>
    <row r="571">
      <c r="Q571" s="44"/>
    </row>
    <row r="572">
      <c r="Q572" s="44"/>
    </row>
    <row r="573">
      <c r="Q573" s="44"/>
    </row>
    <row r="574">
      <c r="Q574" s="44"/>
    </row>
    <row r="575">
      <c r="Q575" s="44"/>
    </row>
    <row r="576">
      <c r="Q576" s="44"/>
    </row>
    <row r="577">
      <c r="Q577" s="44"/>
    </row>
    <row r="578">
      <c r="Q578" s="44"/>
    </row>
    <row r="579">
      <c r="Q579" s="44"/>
    </row>
    <row r="580">
      <c r="Q580" s="44"/>
    </row>
    <row r="581">
      <c r="Q581" s="44"/>
    </row>
    <row r="582">
      <c r="Q582" s="44"/>
    </row>
    <row r="583">
      <c r="Q583" s="44"/>
    </row>
    <row r="584">
      <c r="Q584" s="44"/>
    </row>
    <row r="585">
      <c r="Q585" s="44"/>
    </row>
    <row r="586">
      <c r="Q586" s="44"/>
    </row>
    <row r="587">
      <c r="Q587" s="44"/>
    </row>
    <row r="588">
      <c r="Q588" s="44"/>
    </row>
    <row r="589">
      <c r="Q589" s="44"/>
    </row>
    <row r="590">
      <c r="Q590" s="44"/>
    </row>
    <row r="591">
      <c r="Q591" s="44"/>
    </row>
    <row r="592">
      <c r="Q592" s="44"/>
    </row>
    <row r="593">
      <c r="Q593" s="44"/>
    </row>
    <row r="594">
      <c r="Q594" s="44"/>
    </row>
    <row r="595">
      <c r="Q595" s="44"/>
    </row>
    <row r="596">
      <c r="Q596" s="44"/>
    </row>
    <row r="597">
      <c r="Q597" s="44"/>
    </row>
    <row r="598">
      <c r="Q598" s="44"/>
    </row>
    <row r="599">
      <c r="Q599" s="44"/>
    </row>
    <row r="600">
      <c r="Q600" s="44"/>
    </row>
    <row r="601">
      <c r="Q601" s="44"/>
    </row>
    <row r="602">
      <c r="Q602" s="44"/>
    </row>
    <row r="603">
      <c r="Q603" s="44"/>
    </row>
    <row r="604">
      <c r="Q604" s="44"/>
    </row>
    <row r="605">
      <c r="Q605" s="44"/>
    </row>
    <row r="606">
      <c r="Q606" s="44"/>
    </row>
    <row r="607">
      <c r="Q607" s="44"/>
    </row>
    <row r="608">
      <c r="Q608" s="44"/>
    </row>
    <row r="609">
      <c r="Q609" s="44"/>
    </row>
    <row r="610">
      <c r="Q610" s="44"/>
    </row>
    <row r="611">
      <c r="Q611" s="44"/>
    </row>
    <row r="612">
      <c r="Q612" s="44"/>
    </row>
    <row r="613">
      <c r="Q613" s="44"/>
    </row>
    <row r="614">
      <c r="Q614" s="44"/>
    </row>
    <row r="615">
      <c r="Q615" s="44"/>
    </row>
    <row r="616">
      <c r="Q616" s="44"/>
    </row>
    <row r="617">
      <c r="Q617" s="44"/>
    </row>
    <row r="618">
      <c r="Q618" s="44"/>
    </row>
    <row r="619">
      <c r="Q619" s="44"/>
    </row>
    <row r="620">
      <c r="Q620" s="44"/>
    </row>
    <row r="621">
      <c r="Q621" s="44"/>
    </row>
    <row r="622">
      <c r="Q622" s="44"/>
    </row>
    <row r="623">
      <c r="Q623" s="44"/>
    </row>
    <row r="624">
      <c r="Q624" s="44"/>
    </row>
    <row r="625">
      <c r="Q625" s="44"/>
    </row>
    <row r="626">
      <c r="Q626" s="44"/>
    </row>
    <row r="627">
      <c r="Q627" s="44"/>
    </row>
    <row r="628">
      <c r="Q628" s="44"/>
    </row>
    <row r="629">
      <c r="Q629" s="44"/>
    </row>
    <row r="630">
      <c r="Q630" s="44"/>
    </row>
    <row r="631">
      <c r="Q631" s="44"/>
    </row>
    <row r="632">
      <c r="Q632" s="44"/>
    </row>
    <row r="633">
      <c r="Q633" s="44"/>
    </row>
    <row r="634">
      <c r="Q634" s="44"/>
    </row>
    <row r="635">
      <c r="Q635" s="44"/>
    </row>
    <row r="636">
      <c r="Q636" s="44"/>
    </row>
    <row r="637">
      <c r="Q637" s="44"/>
    </row>
    <row r="638">
      <c r="Q638" s="44"/>
    </row>
    <row r="639">
      <c r="Q639" s="44"/>
    </row>
    <row r="640">
      <c r="Q640" s="44"/>
    </row>
    <row r="641">
      <c r="Q641" s="44"/>
    </row>
    <row r="642">
      <c r="Q642" s="44"/>
    </row>
    <row r="643">
      <c r="Q643" s="44"/>
    </row>
    <row r="644">
      <c r="Q644" s="44"/>
    </row>
    <row r="645">
      <c r="Q645" s="44"/>
    </row>
    <row r="646">
      <c r="Q646" s="44"/>
    </row>
    <row r="647">
      <c r="Q647" s="44"/>
    </row>
    <row r="648">
      <c r="Q648" s="44"/>
    </row>
    <row r="649">
      <c r="Q649" s="44"/>
    </row>
    <row r="650">
      <c r="Q650" s="44"/>
    </row>
    <row r="651">
      <c r="Q651" s="44"/>
    </row>
    <row r="652">
      <c r="Q652" s="44"/>
    </row>
    <row r="653">
      <c r="Q653" s="44"/>
    </row>
    <row r="654">
      <c r="Q654" s="44"/>
    </row>
    <row r="655">
      <c r="Q655" s="44"/>
    </row>
    <row r="656">
      <c r="Q656" s="44"/>
    </row>
    <row r="657">
      <c r="Q657" s="44"/>
    </row>
    <row r="658">
      <c r="Q658" s="44"/>
    </row>
    <row r="659">
      <c r="Q659" s="44"/>
    </row>
    <row r="660">
      <c r="Q660" s="44"/>
    </row>
    <row r="661">
      <c r="Q661" s="44"/>
    </row>
    <row r="662">
      <c r="Q662" s="44"/>
    </row>
    <row r="663">
      <c r="Q663" s="44"/>
    </row>
    <row r="664">
      <c r="Q664" s="44"/>
    </row>
    <row r="665">
      <c r="Q665" s="44"/>
    </row>
    <row r="666">
      <c r="Q666" s="44"/>
    </row>
    <row r="667">
      <c r="Q667" s="44"/>
    </row>
    <row r="668">
      <c r="Q668" s="44"/>
    </row>
    <row r="669">
      <c r="Q669" s="44"/>
    </row>
    <row r="670">
      <c r="Q670" s="44"/>
    </row>
    <row r="671">
      <c r="Q671" s="44"/>
    </row>
    <row r="672">
      <c r="Q672" s="44"/>
    </row>
    <row r="673">
      <c r="Q673" s="44"/>
    </row>
    <row r="674">
      <c r="Q674" s="44"/>
    </row>
    <row r="675">
      <c r="Q675" s="44"/>
    </row>
    <row r="676">
      <c r="Q676" s="44"/>
    </row>
    <row r="677">
      <c r="Q677" s="44"/>
    </row>
    <row r="678">
      <c r="Q678" s="44"/>
    </row>
    <row r="679">
      <c r="Q679" s="44"/>
    </row>
    <row r="680">
      <c r="Q680" s="44"/>
    </row>
    <row r="681">
      <c r="Q681" s="44"/>
    </row>
    <row r="682">
      <c r="Q682" s="44"/>
    </row>
    <row r="683">
      <c r="Q683" s="44"/>
    </row>
    <row r="684">
      <c r="Q684" s="44"/>
    </row>
    <row r="685">
      <c r="Q685" s="44"/>
    </row>
    <row r="686">
      <c r="Q686" s="44"/>
    </row>
    <row r="687">
      <c r="Q687" s="44"/>
    </row>
    <row r="688">
      <c r="Q688" s="44"/>
    </row>
    <row r="689">
      <c r="Q689" s="44"/>
    </row>
    <row r="690">
      <c r="Q690" s="44"/>
    </row>
    <row r="691">
      <c r="Q691" s="44"/>
    </row>
    <row r="692">
      <c r="Q692" s="44"/>
    </row>
    <row r="693">
      <c r="Q693" s="44"/>
    </row>
    <row r="694">
      <c r="Q694" s="44"/>
    </row>
    <row r="695">
      <c r="Q695" s="44"/>
    </row>
    <row r="696">
      <c r="Q696" s="44"/>
    </row>
    <row r="697">
      <c r="Q697" s="44"/>
    </row>
    <row r="698">
      <c r="Q698" s="44"/>
    </row>
    <row r="699">
      <c r="Q699" s="44"/>
    </row>
    <row r="700">
      <c r="Q700" s="44"/>
    </row>
    <row r="701">
      <c r="Q701" s="44"/>
    </row>
    <row r="702">
      <c r="Q702" s="44"/>
    </row>
    <row r="703">
      <c r="Q703" s="44"/>
    </row>
    <row r="704">
      <c r="Q704" s="44"/>
    </row>
    <row r="705">
      <c r="Q705" s="44"/>
    </row>
    <row r="706">
      <c r="Q706" s="44"/>
    </row>
    <row r="707">
      <c r="Q707" s="44"/>
    </row>
    <row r="708">
      <c r="Q708" s="44"/>
    </row>
    <row r="709">
      <c r="Q709" s="44"/>
    </row>
    <row r="710">
      <c r="Q710" s="44"/>
    </row>
    <row r="711">
      <c r="Q711" s="44"/>
    </row>
    <row r="712">
      <c r="Q712" s="44"/>
    </row>
    <row r="713">
      <c r="Q713" s="44"/>
    </row>
    <row r="714">
      <c r="Q714" s="44"/>
    </row>
    <row r="715">
      <c r="Q715" s="44"/>
    </row>
    <row r="716">
      <c r="Q716" s="44"/>
    </row>
    <row r="717">
      <c r="Q717" s="44"/>
    </row>
    <row r="718">
      <c r="Q718" s="44"/>
    </row>
    <row r="719">
      <c r="Q719" s="44"/>
    </row>
    <row r="720">
      <c r="Q720" s="44"/>
    </row>
    <row r="721">
      <c r="Q721" s="44"/>
    </row>
    <row r="722">
      <c r="Q722" s="44"/>
    </row>
    <row r="723">
      <c r="Q723" s="44"/>
    </row>
    <row r="724">
      <c r="Q724" s="44"/>
    </row>
    <row r="725">
      <c r="Q725" s="44"/>
    </row>
    <row r="726">
      <c r="Q726" s="44"/>
    </row>
    <row r="727">
      <c r="Q727" s="44"/>
    </row>
    <row r="728">
      <c r="Q728" s="44"/>
    </row>
    <row r="729">
      <c r="Q729" s="44"/>
    </row>
    <row r="730">
      <c r="Q730" s="44"/>
    </row>
    <row r="731">
      <c r="Q731" s="44"/>
    </row>
    <row r="732">
      <c r="Q732" s="44"/>
    </row>
    <row r="733">
      <c r="Q733" s="44"/>
    </row>
    <row r="734">
      <c r="Q734" s="44"/>
    </row>
    <row r="735">
      <c r="Q735" s="44"/>
    </row>
    <row r="736">
      <c r="Q736" s="44"/>
    </row>
    <row r="737">
      <c r="Q737" s="44"/>
    </row>
    <row r="738">
      <c r="Q738" s="44"/>
    </row>
    <row r="739">
      <c r="Q739" s="44"/>
    </row>
    <row r="740">
      <c r="Q740" s="44"/>
    </row>
    <row r="741">
      <c r="Q741" s="44"/>
    </row>
    <row r="742">
      <c r="Q742" s="44"/>
    </row>
    <row r="743">
      <c r="Q743" s="44"/>
    </row>
    <row r="744">
      <c r="Q744" s="44"/>
    </row>
    <row r="745">
      <c r="Q745" s="44"/>
    </row>
    <row r="746">
      <c r="Q746" s="44"/>
    </row>
    <row r="747">
      <c r="Q747" s="44"/>
    </row>
    <row r="748">
      <c r="Q748" s="44"/>
    </row>
    <row r="749">
      <c r="Q749" s="44"/>
    </row>
    <row r="750">
      <c r="Q750" s="44"/>
    </row>
    <row r="751">
      <c r="Q751" s="44"/>
    </row>
    <row r="752">
      <c r="Q752" s="44"/>
    </row>
    <row r="753">
      <c r="Q753" s="44"/>
    </row>
    <row r="754">
      <c r="Q754" s="44"/>
    </row>
    <row r="755">
      <c r="Q755" s="44"/>
    </row>
    <row r="756">
      <c r="Q756" s="44"/>
    </row>
    <row r="757">
      <c r="Q757" s="44"/>
    </row>
    <row r="758">
      <c r="Q758" s="44"/>
    </row>
    <row r="759">
      <c r="Q759" s="44"/>
    </row>
    <row r="760">
      <c r="Q760" s="44"/>
    </row>
    <row r="761">
      <c r="Q761" s="44"/>
    </row>
    <row r="762">
      <c r="Q762" s="44"/>
    </row>
    <row r="763">
      <c r="Q763" s="44"/>
    </row>
    <row r="764">
      <c r="Q764" s="44"/>
    </row>
    <row r="765">
      <c r="Q765" s="44"/>
    </row>
    <row r="766">
      <c r="Q766" s="44"/>
    </row>
    <row r="767">
      <c r="Q767" s="44"/>
    </row>
    <row r="768">
      <c r="Q768" s="44"/>
    </row>
    <row r="769">
      <c r="Q769" s="44"/>
    </row>
    <row r="770">
      <c r="Q770" s="44"/>
    </row>
    <row r="771">
      <c r="Q771" s="44"/>
    </row>
    <row r="772">
      <c r="Q772" s="44"/>
    </row>
    <row r="773">
      <c r="Q773" s="44"/>
    </row>
    <row r="774">
      <c r="Q774" s="44"/>
    </row>
    <row r="775">
      <c r="Q775" s="44"/>
    </row>
    <row r="776">
      <c r="Q776" s="44"/>
    </row>
    <row r="777">
      <c r="Q777" s="44"/>
    </row>
    <row r="778">
      <c r="Q778" s="44"/>
    </row>
    <row r="779">
      <c r="Q779" s="44"/>
    </row>
    <row r="780">
      <c r="Q780" s="44"/>
    </row>
    <row r="781">
      <c r="Q781" s="44"/>
    </row>
    <row r="782">
      <c r="Q782" s="44"/>
    </row>
    <row r="783">
      <c r="Q783" s="44"/>
    </row>
    <row r="784">
      <c r="Q784" s="44"/>
    </row>
    <row r="785">
      <c r="Q785" s="44"/>
    </row>
    <row r="786">
      <c r="Q786" s="44"/>
    </row>
    <row r="787">
      <c r="Q787" s="44"/>
    </row>
    <row r="788">
      <c r="Q788" s="44"/>
    </row>
    <row r="789">
      <c r="Q789" s="44"/>
    </row>
    <row r="790">
      <c r="Q790" s="44"/>
    </row>
    <row r="791">
      <c r="Q791" s="44"/>
    </row>
    <row r="792">
      <c r="Q792" s="44"/>
    </row>
    <row r="793">
      <c r="Q793" s="44"/>
    </row>
    <row r="794">
      <c r="Q794" s="44"/>
    </row>
    <row r="795">
      <c r="Q795" s="44"/>
    </row>
    <row r="796">
      <c r="Q796" s="44"/>
    </row>
    <row r="797">
      <c r="Q797" s="44"/>
    </row>
    <row r="798">
      <c r="Q798" s="44"/>
    </row>
    <row r="799">
      <c r="Q799" s="44"/>
    </row>
    <row r="800">
      <c r="Q800" s="44"/>
    </row>
    <row r="801">
      <c r="Q801" s="44"/>
    </row>
    <row r="802">
      <c r="Q802" s="44"/>
    </row>
    <row r="803">
      <c r="Q803" s="44"/>
    </row>
    <row r="804">
      <c r="Q804" s="44"/>
    </row>
    <row r="805">
      <c r="Q805" s="44"/>
    </row>
    <row r="806">
      <c r="Q806" s="44"/>
    </row>
    <row r="807">
      <c r="Q807" s="44"/>
    </row>
    <row r="808">
      <c r="Q808" s="44"/>
    </row>
    <row r="809">
      <c r="Q809" s="44"/>
    </row>
    <row r="810">
      <c r="Q810" s="44"/>
    </row>
    <row r="811">
      <c r="Q811" s="44"/>
    </row>
    <row r="812">
      <c r="Q812" s="44"/>
    </row>
    <row r="813">
      <c r="Q813" s="44"/>
    </row>
    <row r="814">
      <c r="Q814" s="44"/>
    </row>
    <row r="815">
      <c r="Q815" s="44"/>
    </row>
    <row r="816">
      <c r="Q816" s="44"/>
    </row>
    <row r="817">
      <c r="Q817" s="44"/>
    </row>
    <row r="818">
      <c r="Q818" s="44"/>
    </row>
    <row r="819">
      <c r="Q819" s="44"/>
    </row>
    <row r="820">
      <c r="Q820" s="44"/>
    </row>
    <row r="821">
      <c r="Q821" s="44"/>
    </row>
    <row r="822">
      <c r="Q822" s="44"/>
    </row>
    <row r="823">
      <c r="Q823" s="44"/>
    </row>
    <row r="824">
      <c r="Q824" s="44"/>
    </row>
    <row r="825">
      <c r="Q825" s="44"/>
    </row>
    <row r="826">
      <c r="Q826" s="44"/>
    </row>
    <row r="827">
      <c r="Q827" s="44"/>
    </row>
    <row r="828">
      <c r="Q828" s="44"/>
    </row>
    <row r="829">
      <c r="Q829" s="44"/>
    </row>
    <row r="830">
      <c r="Q830" s="44"/>
    </row>
    <row r="831">
      <c r="Q831" s="44"/>
    </row>
    <row r="832">
      <c r="Q832" s="44"/>
    </row>
    <row r="833">
      <c r="Q833" s="44"/>
    </row>
    <row r="834">
      <c r="Q834" s="44"/>
    </row>
    <row r="835">
      <c r="Q835" s="44"/>
    </row>
    <row r="836">
      <c r="Q836" s="44"/>
    </row>
    <row r="837">
      <c r="Q837" s="44"/>
    </row>
    <row r="838">
      <c r="Q838" s="44"/>
    </row>
    <row r="839">
      <c r="Q839" s="44"/>
    </row>
    <row r="840">
      <c r="Q840" s="44"/>
    </row>
    <row r="841">
      <c r="Q841" s="44"/>
    </row>
    <row r="842">
      <c r="Q842" s="44"/>
    </row>
    <row r="843">
      <c r="Q843" s="44"/>
    </row>
    <row r="844">
      <c r="Q844" s="44"/>
    </row>
    <row r="845">
      <c r="Q845" s="44"/>
    </row>
    <row r="846">
      <c r="Q846" s="44"/>
    </row>
    <row r="847">
      <c r="Q847" s="44"/>
    </row>
    <row r="848">
      <c r="Q848" s="44"/>
    </row>
    <row r="849">
      <c r="Q849" s="44"/>
    </row>
    <row r="850">
      <c r="Q850" s="44"/>
    </row>
    <row r="851">
      <c r="Q851" s="44"/>
    </row>
    <row r="852">
      <c r="Q852" s="44"/>
    </row>
    <row r="853">
      <c r="Q853" s="44"/>
    </row>
    <row r="854">
      <c r="Q854" s="44"/>
    </row>
    <row r="855">
      <c r="Q855" s="44"/>
    </row>
    <row r="856">
      <c r="Q856" s="44"/>
    </row>
    <row r="857">
      <c r="Q857" s="44"/>
    </row>
    <row r="858">
      <c r="Q858" s="44"/>
    </row>
    <row r="859">
      <c r="Q859" s="44"/>
    </row>
    <row r="860">
      <c r="Q860" s="44"/>
    </row>
    <row r="861">
      <c r="Q861" s="44"/>
    </row>
    <row r="862">
      <c r="Q862" s="44"/>
    </row>
    <row r="863">
      <c r="Q863" s="44"/>
    </row>
    <row r="864">
      <c r="Q864" s="44"/>
    </row>
    <row r="865">
      <c r="Q865" s="44"/>
    </row>
    <row r="866">
      <c r="Q866" s="44"/>
    </row>
    <row r="867">
      <c r="Q867" s="44"/>
    </row>
    <row r="868">
      <c r="Q868" s="44"/>
    </row>
    <row r="869">
      <c r="Q869" s="44"/>
    </row>
    <row r="870">
      <c r="Q870" s="44"/>
    </row>
    <row r="871">
      <c r="Q871" s="44"/>
    </row>
    <row r="872">
      <c r="Q872" s="44"/>
    </row>
    <row r="873">
      <c r="Q873" s="44"/>
    </row>
    <row r="874">
      <c r="Q874" s="44"/>
    </row>
    <row r="875">
      <c r="Q875" s="44"/>
    </row>
    <row r="876">
      <c r="Q876" s="44"/>
    </row>
    <row r="877">
      <c r="Q877" s="44"/>
    </row>
    <row r="878">
      <c r="Q878" s="44"/>
    </row>
    <row r="879">
      <c r="Q879" s="44"/>
    </row>
    <row r="880">
      <c r="Q880" s="44"/>
    </row>
    <row r="881">
      <c r="Q881" s="44"/>
    </row>
    <row r="882">
      <c r="Q882" s="44"/>
    </row>
    <row r="883">
      <c r="Q883" s="44"/>
    </row>
    <row r="884">
      <c r="Q884" s="44"/>
    </row>
    <row r="885">
      <c r="Q885" s="44"/>
    </row>
    <row r="886">
      <c r="Q886" s="44"/>
    </row>
    <row r="887">
      <c r="Q887" s="44"/>
    </row>
    <row r="888">
      <c r="Q888" s="44"/>
    </row>
    <row r="889">
      <c r="Q889" s="44"/>
    </row>
    <row r="890">
      <c r="Q890" s="44"/>
    </row>
    <row r="891">
      <c r="Q891" s="44"/>
    </row>
    <row r="892">
      <c r="Q892" s="44"/>
    </row>
    <row r="893">
      <c r="Q893" s="44"/>
    </row>
    <row r="894">
      <c r="Q894" s="44"/>
    </row>
    <row r="895">
      <c r="Q895" s="44"/>
    </row>
    <row r="896">
      <c r="Q896" s="44"/>
    </row>
    <row r="897">
      <c r="Q897" s="44"/>
    </row>
    <row r="898">
      <c r="Q898" s="44"/>
    </row>
    <row r="899">
      <c r="Q899" s="44"/>
    </row>
    <row r="900">
      <c r="Q900" s="44"/>
    </row>
    <row r="901">
      <c r="Q901" s="44"/>
    </row>
    <row r="902">
      <c r="Q902" s="44"/>
    </row>
    <row r="903">
      <c r="Q903" s="44"/>
    </row>
    <row r="904">
      <c r="Q904" s="44"/>
    </row>
    <row r="905">
      <c r="Q905" s="44"/>
    </row>
    <row r="906">
      <c r="Q906" s="44"/>
    </row>
    <row r="907">
      <c r="Q907" s="44"/>
    </row>
    <row r="908">
      <c r="Q908" s="44"/>
    </row>
    <row r="909">
      <c r="Q909" s="44"/>
    </row>
    <row r="910">
      <c r="Q910" s="44"/>
    </row>
    <row r="911">
      <c r="Q911" s="44"/>
    </row>
    <row r="912">
      <c r="Q912" s="44"/>
    </row>
    <row r="913">
      <c r="Q913" s="44"/>
    </row>
    <row r="914">
      <c r="Q914" s="44"/>
    </row>
    <row r="915">
      <c r="Q915" s="44"/>
    </row>
    <row r="916">
      <c r="Q916" s="44"/>
    </row>
    <row r="917">
      <c r="Q917" s="44"/>
    </row>
    <row r="918">
      <c r="Q918" s="44"/>
    </row>
    <row r="919">
      <c r="Q919" s="44"/>
    </row>
    <row r="920">
      <c r="Q920" s="44"/>
    </row>
    <row r="921">
      <c r="Q921" s="44"/>
    </row>
    <row r="922">
      <c r="Q922" s="44"/>
    </row>
    <row r="923">
      <c r="Q923" s="44"/>
    </row>
    <row r="924">
      <c r="Q924" s="44"/>
    </row>
    <row r="925">
      <c r="Q925" s="44"/>
    </row>
    <row r="926">
      <c r="Q926" s="44"/>
    </row>
    <row r="927">
      <c r="Q927" s="44"/>
    </row>
    <row r="928">
      <c r="Q928" s="44"/>
    </row>
    <row r="929">
      <c r="Q929" s="44"/>
    </row>
    <row r="930">
      <c r="Q930" s="44"/>
    </row>
    <row r="931">
      <c r="Q931" s="44"/>
    </row>
    <row r="932">
      <c r="Q932" s="44"/>
    </row>
    <row r="933">
      <c r="Q933" s="44"/>
    </row>
    <row r="934">
      <c r="Q934" s="44"/>
    </row>
    <row r="935">
      <c r="Q935" s="44"/>
    </row>
    <row r="936">
      <c r="Q936" s="44"/>
    </row>
    <row r="937">
      <c r="Q937" s="44"/>
    </row>
    <row r="938">
      <c r="Q938" s="44"/>
    </row>
    <row r="939">
      <c r="Q939" s="44"/>
    </row>
    <row r="940">
      <c r="Q940" s="44"/>
    </row>
    <row r="941">
      <c r="Q941" s="44"/>
    </row>
    <row r="942">
      <c r="Q942" s="44"/>
    </row>
    <row r="943">
      <c r="Q943" s="44"/>
    </row>
    <row r="944">
      <c r="Q944" s="44"/>
    </row>
    <row r="945">
      <c r="Q945" s="44"/>
    </row>
    <row r="946">
      <c r="Q946" s="44"/>
    </row>
    <row r="947">
      <c r="Q947" s="44"/>
    </row>
    <row r="948">
      <c r="Q948" s="44"/>
    </row>
    <row r="949">
      <c r="Q949" s="44"/>
    </row>
    <row r="950">
      <c r="Q950" s="44"/>
    </row>
    <row r="951">
      <c r="Q951" s="44"/>
    </row>
    <row r="952">
      <c r="Q952" s="44"/>
    </row>
    <row r="953">
      <c r="Q953" s="44"/>
    </row>
    <row r="954">
      <c r="Q954" s="44"/>
    </row>
    <row r="955">
      <c r="Q955" s="44"/>
    </row>
    <row r="956">
      <c r="Q956" s="44"/>
    </row>
    <row r="957">
      <c r="Q957" s="44"/>
    </row>
    <row r="958">
      <c r="Q958" s="44"/>
    </row>
    <row r="959">
      <c r="Q959" s="44"/>
    </row>
    <row r="960">
      <c r="Q960" s="44"/>
    </row>
    <row r="961">
      <c r="Q961" s="44"/>
    </row>
    <row r="962">
      <c r="Q962" s="44"/>
    </row>
    <row r="963">
      <c r="Q963" s="44"/>
    </row>
    <row r="964">
      <c r="Q964" s="44"/>
    </row>
    <row r="965">
      <c r="Q965" s="44"/>
    </row>
    <row r="966">
      <c r="Q966" s="44"/>
    </row>
    <row r="967">
      <c r="Q967" s="44"/>
    </row>
    <row r="968">
      <c r="Q968" s="44"/>
    </row>
    <row r="969">
      <c r="Q969" s="44"/>
    </row>
    <row r="970">
      <c r="Q970" s="44"/>
    </row>
    <row r="971">
      <c r="Q971" s="44"/>
    </row>
    <row r="972">
      <c r="Q972" s="44"/>
    </row>
    <row r="973">
      <c r="Q973" s="44"/>
    </row>
    <row r="974">
      <c r="Q974" s="44"/>
    </row>
    <row r="975">
      <c r="Q975" s="44"/>
    </row>
    <row r="976">
      <c r="Q976" s="44"/>
    </row>
    <row r="977">
      <c r="Q977" s="44"/>
    </row>
    <row r="978">
      <c r="Q978" s="44"/>
    </row>
    <row r="979">
      <c r="Q979" s="44"/>
    </row>
    <row r="980">
      <c r="Q980" s="44"/>
    </row>
    <row r="981">
      <c r="Q981" s="44"/>
    </row>
    <row r="982">
      <c r="Q982" s="44"/>
    </row>
    <row r="983">
      <c r="Q983" s="44"/>
    </row>
    <row r="984">
      <c r="Q984" s="44"/>
    </row>
  </sheetData>
  <mergeCells count="9">
    <mergeCell ref="A25:C25"/>
    <mergeCell ref="A27:C27"/>
    <mergeCell ref="A7:A12"/>
    <mergeCell ref="B7:B9"/>
    <mergeCell ref="C7:C9"/>
    <mergeCell ref="B10:B12"/>
    <mergeCell ref="A14:A15"/>
    <mergeCell ref="A21:B21"/>
    <mergeCell ref="A24:C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5.13"/>
    <col customWidth="1" min="4" max="4" width="9.38"/>
    <col customWidth="1" min="5" max="5" width="6.0"/>
    <col customWidth="1" min="6" max="6" width="12.38"/>
    <col customWidth="1" min="7" max="7" width="12.63"/>
    <col customWidth="1" min="8" max="8" width="10.25"/>
    <col customWidth="1" min="9" max="10" width="9.38"/>
    <col customWidth="1" min="11" max="11" width="7.63"/>
    <col customWidth="1" min="12" max="12" width="6.25"/>
    <col customWidth="1" min="13" max="14" width="6.0"/>
    <col customWidth="1" min="15" max="15" width="7.25"/>
    <col customWidth="1" min="16" max="16" width="6.0"/>
    <col customWidth="1" min="18" max="18" width="17.25"/>
  </cols>
  <sheetData>
    <row r="1">
      <c r="A1" s="2" t="s">
        <v>0</v>
      </c>
      <c r="B1" s="4" t="s">
        <v>1</v>
      </c>
      <c r="D1" s="5" t="s">
        <v>2</v>
      </c>
      <c r="K1" s="8" t="s">
        <v>3</v>
      </c>
      <c r="R1" s="10" t="s">
        <v>4</v>
      </c>
    </row>
    <row r="2">
      <c r="A2" s="13" t="s">
        <v>5</v>
      </c>
      <c r="B2" s="15" t="s">
        <v>7</v>
      </c>
      <c r="C2" s="15" t="s">
        <v>9</v>
      </c>
      <c r="D2" s="16" t="s">
        <v>10</v>
      </c>
      <c r="E2" s="16" t="s">
        <v>11</v>
      </c>
      <c r="F2" s="17" t="s">
        <v>12</v>
      </c>
      <c r="G2" s="19" t="s">
        <v>13</v>
      </c>
      <c r="H2" s="22" t="s">
        <v>14</v>
      </c>
      <c r="I2" s="24" t="s">
        <v>12</v>
      </c>
      <c r="J2" s="26" t="s">
        <v>16</v>
      </c>
      <c r="K2" s="19" t="s">
        <v>17</v>
      </c>
      <c r="L2" s="19" t="s">
        <v>18</v>
      </c>
      <c r="M2" s="19" t="s">
        <v>11</v>
      </c>
      <c r="N2" s="29" t="s">
        <v>19</v>
      </c>
      <c r="O2" s="30" t="s">
        <v>18</v>
      </c>
      <c r="P2" s="29" t="s">
        <v>11</v>
      </c>
      <c r="R2" s="10" t="s">
        <v>22</v>
      </c>
    </row>
    <row r="3">
      <c r="A3" s="35">
        <v>45871.0</v>
      </c>
      <c r="B3" s="38">
        <v>1.0E8</v>
      </c>
      <c r="C3" s="38">
        <v>1.0E8</v>
      </c>
      <c r="D3" s="43"/>
      <c r="E3" s="46">
        <v>100.0</v>
      </c>
      <c r="F3" s="49"/>
      <c r="G3" s="52">
        <v>1.0E8</v>
      </c>
      <c r="H3" s="67">
        <f>B3</f>
        <v>100000000</v>
      </c>
      <c r="I3" s="69">
        <v>0.0</v>
      </c>
      <c r="J3" s="72">
        <v>0.0</v>
      </c>
      <c r="K3" s="73">
        <v>6345.0</v>
      </c>
      <c r="L3" s="74"/>
      <c r="M3" s="76">
        <v>100.0</v>
      </c>
      <c r="N3" s="77">
        <v>3227.0</v>
      </c>
      <c r="O3" s="78"/>
      <c r="P3" s="29">
        <v>100.0</v>
      </c>
      <c r="Q3" s="79"/>
      <c r="R3" s="10" t="s">
        <v>57</v>
      </c>
      <c r="T3" s="79"/>
      <c r="U3" s="79"/>
      <c r="V3" s="79"/>
      <c r="W3" s="79"/>
      <c r="X3" s="79"/>
    </row>
    <row r="4">
      <c r="A4" s="35">
        <v>45904.0</v>
      </c>
      <c r="B4" s="38">
        <v>0.0</v>
      </c>
      <c r="C4" s="38">
        <v>1.02061167E8</v>
      </c>
      <c r="D4" s="83">
        <f t="shared" ref="D4:D7" si="1">(C4-(H4-H3))/C3-1</f>
        <v>0.02061167</v>
      </c>
      <c r="E4" s="85">
        <f t="shared" ref="E4:E7" si="2">$E3*(1+D4)</f>
        <v>102.061167</v>
      </c>
      <c r="F4" s="87">
        <f t="shared" ref="F4:F7" si="3">C4-C3-(H4-H3)</f>
        <v>2061167</v>
      </c>
      <c r="G4" s="73">
        <f t="shared" ref="G4:G7" si="4">H4+I4</f>
        <v>102061167</v>
      </c>
      <c r="H4" s="67">
        <f t="shared" ref="H4:H7" si="5">H3+B4</f>
        <v>100000000</v>
      </c>
      <c r="I4" s="69">
        <f t="shared" ref="I4:I7" si="6">G3*$D4</f>
        <v>2061167</v>
      </c>
      <c r="J4" s="72">
        <f t="shared" ref="J4:J7" si="7">sum(J3+I4)</f>
        <v>2061167</v>
      </c>
      <c r="K4" s="73">
        <v>6448.0</v>
      </c>
      <c r="L4" s="91">
        <f t="shared" ref="L4:L7" si="8">K4/K3-1</f>
        <v>0.01623325453</v>
      </c>
      <c r="M4" s="92">
        <f t="shared" ref="M4:M7" si="9">$M3*(1+L4)</f>
        <v>101.6233255</v>
      </c>
      <c r="N4" s="77">
        <v>3200.0</v>
      </c>
      <c r="O4" s="93">
        <f t="shared" ref="O4:O7" si="10">N4/N3-1</f>
        <v>-0.008366904245</v>
      </c>
      <c r="P4" s="94">
        <f t="shared" ref="P4:P7" si="11">$P3*(1+O4)</f>
        <v>99.16330958</v>
      </c>
      <c r="Q4" s="79"/>
      <c r="R4" s="10" t="s">
        <v>83</v>
      </c>
      <c r="S4" s="95"/>
      <c r="T4" s="79"/>
      <c r="U4" s="79"/>
      <c r="V4" s="79"/>
      <c r="W4" s="79"/>
      <c r="X4" s="79"/>
    </row>
    <row r="5">
      <c r="A5" s="35">
        <v>45940.0</v>
      </c>
      <c r="B5" s="38">
        <v>1.0E8</v>
      </c>
      <c r="C5" s="38">
        <v>2.1105409E8</v>
      </c>
      <c r="D5" s="83">
        <f t="shared" si="1"/>
        <v>0.08811307243</v>
      </c>
      <c r="E5" s="85">
        <f t="shared" si="2"/>
        <v>111.05409</v>
      </c>
      <c r="F5" s="87">
        <f t="shared" si="3"/>
        <v>8992923</v>
      </c>
      <c r="G5" s="73">
        <f t="shared" si="4"/>
        <v>208992923</v>
      </c>
      <c r="H5" s="67">
        <f t="shared" si="5"/>
        <v>200000000</v>
      </c>
      <c r="I5" s="69">
        <f t="shared" si="6"/>
        <v>8992923</v>
      </c>
      <c r="J5" s="72">
        <f t="shared" si="7"/>
        <v>11054090</v>
      </c>
      <c r="K5" s="73">
        <v>6735.0</v>
      </c>
      <c r="L5" s="91">
        <f t="shared" si="8"/>
        <v>0.04450992556</v>
      </c>
      <c r="M5" s="92">
        <f t="shared" si="9"/>
        <v>106.1465721</v>
      </c>
      <c r="N5" s="77">
        <v>3610.0</v>
      </c>
      <c r="O5" s="93">
        <f t="shared" si="10"/>
        <v>0.128125</v>
      </c>
      <c r="P5" s="94">
        <f t="shared" si="11"/>
        <v>111.8686086</v>
      </c>
      <c r="Q5" s="97"/>
      <c r="R5" s="98" t="s">
        <v>96</v>
      </c>
      <c r="S5" s="79"/>
      <c r="T5" s="79"/>
      <c r="U5" s="79"/>
      <c r="V5" s="79"/>
      <c r="W5" s="79"/>
      <c r="X5" s="79"/>
    </row>
    <row r="6">
      <c r="A6" s="35">
        <v>46002.0</v>
      </c>
      <c r="B6" s="38">
        <v>0.0</v>
      </c>
      <c r="C6" s="38">
        <v>2.15768E8</v>
      </c>
      <c r="D6" s="83">
        <f t="shared" si="1"/>
        <v>0.02233508007</v>
      </c>
      <c r="E6" s="85">
        <f t="shared" si="2"/>
        <v>113.534492</v>
      </c>
      <c r="F6" s="87">
        <f t="shared" si="3"/>
        <v>4713910</v>
      </c>
      <c r="G6" s="73">
        <f t="shared" si="4"/>
        <v>204667873.7</v>
      </c>
      <c r="H6" s="67">
        <f t="shared" si="5"/>
        <v>200000000</v>
      </c>
      <c r="I6" s="69">
        <f t="shared" si="6"/>
        <v>4667873.67</v>
      </c>
      <c r="J6" s="72">
        <f t="shared" si="7"/>
        <v>15721963.67</v>
      </c>
      <c r="K6" s="73">
        <v>6886.0</v>
      </c>
      <c r="L6" s="91">
        <f t="shared" si="8"/>
        <v>0.02242019302</v>
      </c>
      <c r="M6" s="92">
        <f t="shared" si="9"/>
        <v>108.5263987</v>
      </c>
      <c r="N6" s="77">
        <v>4135.0</v>
      </c>
      <c r="O6" s="93">
        <f t="shared" si="10"/>
        <v>0.1454293629</v>
      </c>
      <c r="P6" s="94">
        <f t="shared" si="11"/>
        <v>128.1375891</v>
      </c>
      <c r="Q6" s="97"/>
      <c r="R6" s="99"/>
    </row>
    <row r="7">
      <c r="A7" s="35">
        <v>46049.0</v>
      </c>
      <c r="B7" s="38">
        <v>0.0</v>
      </c>
      <c r="C7" s="38">
        <v>2.25653E8</v>
      </c>
      <c r="D7" s="83">
        <f t="shared" si="1"/>
        <v>0.04581309555</v>
      </c>
      <c r="E7" s="85">
        <f t="shared" si="2"/>
        <v>118.7358585</v>
      </c>
      <c r="F7" s="87">
        <f t="shared" si="3"/>
        <v>9885000</v>
      </c>
      <c r="G7" s="73">
        <f t="shared" si="4"/>
        <v>209376468.9</v>
      </c>
      <c r="H7" s="67">
        <f t="shared" si="5"/>
        <v>200000000</v>
      </c>
      <c r="I7" s="69">
        <f t="shared" si="6"/>
        <v>9376468.852</v>
      </c>
      <c r="J7" s="72">
        <f t="shared" si="7"/>
        <v>25098432.52</v>
      </c>
      <c r="K7" s="73">
        <v>6950.0</v>
      </c>
      <c r="L7" s="91">
        <f t="shared" si="8"/>
        <v>0.009294220157</v>
      </c>
      <c r="M7" s="92">
        <f t="shared" si="9"/>
        <v>109.535067</v>
      </c>
      <c r="N7" s="77">
        <v>5018.0</v>
      </c>
      <c r="O7" s="93">
        <f t="shared" si="10"/>
        <v>0.2135429262</v>
      </c>
      <c r="P7" s="94">
        <f t="shared" si="11"/>
        <v>155.5004648</v>
      </c>
      <c r="Q7" s="97"/>
      <c r="R7" s="101"/>
    </row>
    <row r="8">
      <c r="A8" s="35"/>
      <c r="B8" s="103"/>
      <c r="C8" s="105"/>
      <c r="D8" s="83"/>
      <c r="E8" s="85"/>
      <c r="F8" s="49"/>
      <c r="G8" s="73"/>
      <c r="H8" s="67"/>
      <c r="I8" s="69"/>
      <c r="J8" s="72"/>
      <c r="K8" s="73"/>
      <c r="L8" s="91"/>
      <c r="M8" s="92"/>
      <c r="N8" s="77"/>
      <c r="O8" s="93"/>
      <c r="P8" s="94"/>
      <c r="Q8" s="97"/>
      <c r="R8" s="112"/>
    </row>
    <row r="9">
      <c r="A9" s="35"/>
      <c r="B9" s="103"/>
      <c r="C9" s="38"/>
      <c r="D9" s="83"/>
      <c r="E9" s="85"/>
      <c r="F9" s="49"/>
      <c r="G9" s="73"/>
      <c r="H9" s="67"/>
      <c r="I9" s="69"/>
      <c r="J9" s="72"/>
      <c r="K9" s="73"/>
      <c r="L9" s="91"/>
      <c r="M9" s="92"/>
      <c r="N9" s="77"/>
      <c r="O9" s="93"/>
      <c r="P9" s="94"/>
      <c r="Q9" s="97"/>
      <c r="R9" s="112"/>
      <c r="S9" s="79"/>
      <c r="T9" s="79"/>
      <c r="U9" s="79"/>
      <c r="V9" s="79"/>
      <c r="W9" s="79"/>
      <c r="X9" s="79"/>
    </row>
    <row r="10">
      <c r="A10" s="35"/>
      <c r="B10" s="103"/>
      <c r="C10" s="38"/>
      <c r="D10" s="83"/>
      <c r="E10" s="85"/>
      <c r="F10" s="49"/>
      <c r="G10" s="73"/>
      <c r="H10" s="67"/>
      <c r="I10" s="69"/>
      <c r="J10" s="72"/>
      <c r="K10" s="73"/>
      <c r="L10" s="91"/>
      <c r="M10" s="92"/>
      <c r="N10" s="77"/>
      <c r="O10" s="93"/>
      <c r="P10" s="94"/>
      <c r="Q10" s="97"/>
      <c r="R10" s="79"/>
      <c r="S10" s="79"/>
      <c r="T10" s="79"/>
      <c r="U10" s="79"/>
      <c r="V10" s="79"/>
      <c r="W10" s="79"/>
      <c r="X10" s="79"/>
    </row>
    <row r="11">
      <c r="A11" s="35"/>
      <c r="B11" s="103"/>
      <c r="C11" s="38"/>
      <c r="D11" s="83"/>
      <c r="E11" s="85"/>
      <c r="F11" s="49"/>
      <c r="G11" s="73"/>
      <c r="H11" s="67"/>
      <c r="I11" s="69"/>
      <c r="J11" s="72"/>
      <c r="K11" s="73"/>
      <c r="L11" s="91"/>
      <c r="M11" s="92"/>
      <c r="N11" s="77"/>
      <c r="O11" s="93"/>
      <c r="P11" s="94"/>
      <c r="Q11" s="97"/>
      <c r="R11" s="79"/>
      <c r="S11" s="79"/>
      <c r="T11" s="79"/>
      <c r="U11" s="79"/>
      <c r="V11" s="79"/>
      <c r="W11" s="79"/>
      <c r="X11" s="79"/>
    </row>
    <row r="12">
      <c r="A12" s="35"/>
      <c r="B12" s="103"/>
      <c r="C12" s="38"/>
      <c r="D12" s="83"/>
      <c r="E12" s="85"/>
      <c r="F12" s="49"/>
      <c r="G12" s="73"/>
      <c r="H12" s="67"/>
      <c r="I12" s="69"/>
      <c r="J12" s="72"/>
      <c r="K12" s="73"/>
      <c r="L12" s="91"/>
      <c r="M12" s="92"/>
      <c r="N12" s="77"/>
      <c r="O12" s="93"/>
      <c r="P12" s="94"/>
      <c r="Q12" s="97"/>
      <c r="R12" s="79"/>
      <c r="S12" s="79"/>
      <c r="T12" s="79"/>
      <c r="U12" s="79"/>
      <c r="V12" s="79"/>
      <c r="W12" s="79"/>
      <c r="X12" s="79"/>
    </row>
    <row r="13">
      <c r="A13" s="35"/>
      <c r="B13" s="103"/>
      <c r="C13" s="38"/>
      <c r="D13" s="83"/>
      <c r="E13" s="85"/>
      <c r="F13" s="49"/>
      <c r="G13" s="73"/>
      <c r="H13" s="67"/>
      <c r="I13" s="69"/>
      <c r="J13" s="72"/>
      <c r="K13" s="73"/>
      <c r="L13" s="91"/>
      <c r="M13" s="92"/>
      <c r="N13" s="77"/>
      <c r="O13" s="93"/>
      <c r="P13" s="94"/>
      <c r="Q13" s="97"/>
      <c r="R13" s="79"/>
      <c r="S13" s="79"/>
      <c r="T13" s="79"/>
      <c r="U13" s="79"/>
      <c r="V13" s="79"/>
      <c r="W13" s="79"/>
      <c r="X13" s="79"/>
    </row>
    <row r="14">
      <c r="A14" s="35"/>
      <c r="B14" s="103"/>
      <c r="C14" s="38"/>
      <c r="D14" s="83"/>
      <c r="E14" s="85"/>
      <c r="F14" s="49"/>
      <c r="G14" s="73"/>
      <c r="H14" s="67"/>
      <c r="I14" s="69"/>
      <c r="J14" s="72"/>
      <c r="K14" s="73"/>
      <c r="L14" s="91"/>
      <c r="M14" s="92"/>
      <c r="N14" s="77"/>
      <c r="O14" s="93"/>
      <c r="P14" s="94"/>
      <c r="Q14" s="97"/>
      <c r="R14" s="115"/>
      <c r="S14" s="79"/>
      <c r="T14" s="79"/>
      <c r="U14" s="79"/>
      <c r="V14" s="79"/>
      <c r="W14" s="79"/>
      <c r="X14" s="79"/>
    </row>
    <row r="15">
      <c r="A15" s="35"/>
      <c r="B15" s="103"/>
      <c r="C15" s="38"/>
      <c r="D15" s="83"/>
      <c r="E15" s="85"/>
      <c r="F15" s="49"/>
      <c r="G15" s="73"/>
      <c r="H15" s="67"/>
      <c r="I15" s="69"/>
      <c r="J15" s="72"/>
      <c r="K15" s="73"/>
      <c r="L15" s="91"/>
      <c r="M15" s="92"/>
      <c r="N15" s="77"/>
      <c r="O15" s="93"/>
      <c r="P15" s="94"/>
      <c r="Q15" s="97"/>
      <c r="R15" s="79"/>
      <c r="S15" s="79"/>
      <c r="T15" s="79"/>
      <c r="U15" s="79"/>
      <c r="V15" s="79"/>
      <c r="W15" s="79"/>
      <c r="X15" s="79"/>
    </row>
    <row r="16">
      <c r="A16" s="35"/>
      <c r="B16" s="103"/>
      <c r="C16" s="38"/>
      <c r="D16" s="83"/>
      <c r="E16" s="85"/>
      <c r="F16" s="49"/>
      <c r="G16" s="73"/>
      <c r="H16" s="67"/>
      <c r="I16" s="69"/>
      <c r="J16" s="72"/>
      <c r="K16" s="73"/>
      <c r="L16" s="91"/>
      <c r="M16" s="92"/>
      <c r="N16" s="77"/>
      <c r="O16" s="93"/>
      <c r="P16" s="94"/>
      <c r="Q16" s="97"/>
      <c r="R16" s="79"/>
      <c r="S16" s="79"/>
      <c r="T16" s="79"/>
      <c r="U16" s="79"/>
      <c r="V16" s="79"/>
      <c r="W16" s="79"/>
      <c r="X16" s="79"/>
    </row>
    <row r="17">
      <c r="A17" s="35"/>
      <c r="B17" s="103"/>
      <c r="C17" s="38"/>
      <c r="D17" s="83"/>
      <c r="E17" s="85"/>
      <c r="F17" s="49"/>
      <c r="G17" s="73"/>
      <c r="H17" s="67"/>
      <c r="I17" s="69"/>
      <c r="J17" s="72"/>
      <c r="K17" s="73"/>
      <c r="L17" s="91"/>
      <c r="M17" s="92"/>
      <c r="N17" s="77"/>
      <c r="O17" s="93"/>
      <c r="P17" s="94"/>
      <c r="Q17" s="97"/>
      <c r="R17" s="79"/>
      <c r="S17" s="79"/>
      <c r="T17" s="79"/>
      <c r="U17" s="79"/>
      <c r="V17" s="79"/>
      <c r="W17" s="79"/>
      <c r="X17" s="79"/>
    </row>
    <row r="18">
      <c r="A18" s="35"/>
      <c r="B18" s="103"/>
      <c r="C18" s="38"/>
      <c r="D18" s="83"/>
      <c r="E18" s="85"/>
      <c r="F18" s="49"/>
      <c r="G18" s="73"/>
      <c r="H18" s="67"/>
      <c r="I18" s="69"/>
      <c r="J18" s="72"/>
      <c r="K18" s="73"/>
      <c r="L18" s="91"/>
      <c r="M18" s="92"/>
      <c r="N18" s="77"/>
      <c r="O18" s="93"/>
      <c r="P18" s="94"/>
      <c r="Q18" s="97"/>
      <c r="R18" s="79"/>
      <c r="S18" s="79"/>
      <c r="T18" s="79"/>
      <c r="U18" s="79"/>
      <c r="V18" s="79"/>
      <c r="W18" s="79"/>
      <c r="X18" s="79"/>
    </row>
    <row r="19">
      <c r="A19" s="35"/>
      <c r="B19" s="103"/>
      <c r="C19" s="38"/>
      <c r="D19" s="83"/>
      <c r="E19" s="85"/>
      <c r="F19" s="49"/>
      <c r="G19" s="73"/>
      <c r="H19" s="67"/>
      <c r="I19" s="69"/>
      <c r="J19" s="72"/>
      <c r="K19" s="73"/>
      <c r="L19" s="91"/>
      <c r="M19" s="92"/>
      <c r="N19" s="77"/>
      <c r="O19" s="93"/>
      <c r="P19" s="94"/>
      <c r="Q19" s="97"/>
      <c r="R19" s="79"/>
      <c r="S19" s="79"/>
      <c r="T19" s="79"/>
      <c r="U19" s="79"/>
      <c r="V19" s="79"/>
      <c r="W19" s="79"/>
      <c r="X19" s="79"/>
    </row>
    <row r="20">
      <c r="A20" s="35"/>
      <c r="B20" s="103"/>
      <c r="C20" s="38"/>
      <c r="D20" s="83"/>
      <c r="E20" s="85"/>
      <c r="F20" s="49"/>
      <c r="G20" s="73"/>
      <c r="H20" s="67"/>
      <c r="I20" s="69"/>
      <c r="J20" s="72"/>
      <c r="K20" s="73"/>
      <c r="L20" s="91"/>
      <c r="M20" s="92"/>
      <c r="N20" s="77"/>
      <c r="O20" s="93"/>
      <c r="P20" s="94"/>
      <c r="Q20" s="97"/>
      <c r="R20" s="79"/>
      <c r="S20" s="79"/>
      <c r="T20" s="79"/>
      <c r="U20" s="79"/>
      <c r="V20" s="79"/>
      <c r="W20" s="79"/>
      <c r="X20" s="79"/>
    </row>
    <row r="21">
      <c r="A21" s="116"/>
      <c r="B21" s="103"/>
      <c r="C21" s="38"/>
      <c r="D21" s="83"/>
      <c r="E21" s="85"/>
      <c r="F21" s="87"/>
      <c r="G21" s="73"/>
      <c r="H21" s="67"/>
      <c r="I21" s="69"/>
      <c r="J21" s="72"/>
      <c r="K21" s="76"/>
      <c r="L21" s="117"/>
      <c r="M21" s="92"/>
      <c r="N21" s="118"/>
      <c r="O21" s="93"/>
      <c r="P21" s="94"/>
      <c r="Q21" s="97"/>
      <c r="R21" s="79"/>
      <c r="S21" s="99"/>
      <c r="T21" s="79"/>
      <c r="U21" s="79"/>
      <c r="V21" s="79"/>
      <c r="W21" s="79"/>
      <c r="X21" s="79"/>
    </row>
    <row r="22">
      <c r="A22" s="116"/>
      <c r="B22" s="103"/>
      <c r="C22" s="38"/>
      <c r="D22" s="83"/>
      <c r="E22" s="85"/>
      <c r="F22" s="87"/>
      <c r="G22" s="73"/>
      <c r="H22" s="67"/>
      <c r="I22" s="69"/>
      <c r="J22" s="72"/>
      <c r="K22" s="76"/>
      <c r="L22" s="117"/>
      <c r="M22" s="92"/>
      <c r="N22" s="118"/>
      <c r="O22" s="93"/>
      <c r="P22" s="94"/>
      <c r="Q22" s="97"/>
      <c r="R22" s="79"/>
      <c r="S22" s="79"/>
      <c r="T22" s="79"/>
      <c r="U22" s="79"/>
      <c r="V22" s="79"/>
      <c r="W22" s="79"/>
      <c r="X22" s="79"/>
    </row>
    <row r="23">
      <c r="A23" s="116"/>
      <c r="B23" s="103"/>
      <c r="C23" s="38"/>
      <c r="D23" s="83"/>
      <c r="E23" s="85"/>
      <c r="F23" s="87"/>
      <c r="G23" s="73"/>
      <c r="H23" s="67"/>
      <c r="I23" s="69"/>
      <c r="J23" s="72"/>
      <c r="K23" s="76"/>
      <c r="L23" s="117"/>
      <c r="M23" s="92"/>
      <c r="N23" s="118"/>
      <c r="O23" s="93"/>
      <c r="P23" s="94"/>
      <c r="Q23" s="97"/>
      <c r="R23" s="79"/>
      <c r="S23" s="79"/>
      <c r="T23" s="79"/>
      <c r="U23" s="79"/>
      <c r="V23" s="79"/>
      <c r="W23" s="79"/>
      <c r="X23" s="79"/>
    </row>
    <row r="24">
      <c r="A24" s="116"/>
      <c r="B24" s="103"/>
      <c r="C24" s="38"/>
      <c r="D24" s="83"/>
      <c r="E24" s="85"/>
      <c r="F24" s="87"/>
      <c r="G24" s="73"/>
      <c r="H24" s="67"/>
      <c r="I24" s="69"/>
      <c r="J24" s="72"/>
      <c r="K24" s="76"/>
      <c r="L24" s="117"/>
      <c r="M24" s="92"/>
      <c r="N24" s="118"/>
      <c r="O24" s="93"/>
      <c r="P24" s="94"/>
      <c r="Q24" s="97"/>
      <c r="R24" s="79"/>
      <c r="S24" s="79"/>
      <c r="T24" s="79"/>
      <c r="U24" s="79"/>
      <c r="V24" s="79"/>
      <c r="W24" s="79"/>
      <c r="X24" s="79"/>
    </row>
    <row r="25">
      <c r="A25" s="116"/>
      <c r="B25" s="103"/>
      <c r="C25" s="38"/>
      <c r="D25" s="83"/>
      <c r="E25" s="85"/>
      <c r="F25" s="87"/>
      <c r="G25" s="73"/>
      <c r="H25" s="67"/>
      <c r="I25" s="69"/>
      <c r="J25" s="72"/>
      <c r="K25" s="76"/>
      <c r="L25" s="117"/>
      <c r="M25" s="92"/>
      <c r="N25" s="118"/>
      <c r="O25" s="93"/>
      <c r="P25" s="94"/>
      <c r="Q25" s="97"/>
      <c r="R25" s="79"/>
      <c r="S25" s="79"/>
      <c r="T25" s="79"/>
      <c r="U25" s="79"/>
      <c r="V25" s="79"/>
      <c r="W25" s="79"/>
      <c r="X25" s="79"/>
    </row>
    <row r="26">
      <c r="A26" s="116"/>
      <c r="B26" s="103"/>
      <c r="C26" s="38"/>
      <c r="D26" s="83"/>
      <c r="E26" s="85"/>
      <c r="F26" s="87"/>
      <c r="G26" s="73"/>
      <c r="H26" s="67"/>
      <c r="I26" s="69"/>
      <c r="J26" s="72"/>
      <c r="K26" s="76"/>
      <c r="L26" s="117"/>
      <c r="M26" s="92"/>
      <c r="N26" s="118"/>
      <c r="O26" s="93"/>
      <c r="P26" s="94"/>
      <c r="Q26" s="97"/>
      <c r="R26" s="79"/>
      <c r="S26" s="79"/>
      <c r="T26" s="79"/>
      <c r="U26" s="79"/>
      <c r="V26" s="79"/>
      <c r="W26" s="79"/>
      <c r="X26" s="79"/>
    </row>
    <row r="27">
      <c r="A27" s="116"/>
      <c r="B27" s="103"/>
      <c r="C27" s="119"/>
      <c r="D27" s="120"/>
      <c r="E27" s="85"/>
      <c r="F27" s="49"/>
      <c r="G27" s="73"/>
      <c r="H27" s="67"/>
      <c r="I27" s="69"/>
      <c r="J27" s="72"/>
      <c r="K27" s="121"/>
      <c r="L27" s="121"/>
      <c r="M27" s="121"/>
      <c r="N27" s="122"/>
      <c r="O27" s="78"/>
      <c r="P27" s="122"/>
      <c r="Q27" s="97"/>
      <c r="R27" s="79"/>
      <c r="S27" s="79"/>
      <c r="T27" s="79"/>
      <c r="U27" s="79"/>
      <c r="V27" s="79"/>
      <c r="W27" s="79"/>
      <c r="X27" s="79"/>
    </row>
    <row r="28">
      <c r="A28" s="116"/>
      <c r="B28" s="103"/>
      <c r="C28" s="119"/>
      <c r="D28" s="120"/>
      <c r="E28" s="85"/>
      <c r="F28" s="49"/>
      <c r="G28" s="73"/>
      <c r="H28" s="67"/>
      <c r="I28" s="69"/>
      <c r="J28" s="72"/>
      <c r="K28" s="121"/>
      <c r="L28" s="121"/>
      <c r="M28" s="121"/>
      <c r="N28" s="122"/>
      <c r="O28" s="78"/>
      <c r="P28" s="122"/>
      <c r="Q28" s="97"/>
      <c r="R28" s="79"/>
      <c r="S28" s="79"/>
      <c r="T28" s="79"/>
      <c r="U28" s="79"/>
      <c r="V28" s="79"/>
      <c r="W28" s="79"/>
      <c r="X28" s="79"/>
    </row>
    <row r="29">
      <c r="A29" s="116"/>
      <c r="B29" s="103"/>
      <c r="C29" s="119"/>
      <c r="D29" s="120"/>
      <c r="E29" s="85"/>
      <c r="F29" s="49"/>
      <c r="G29" s="73"/>
      <c r="H29" s="67"/>
      <c r="I29" s="69"/>
      <c r="J29" s="72"/>
      <c r="K29" s="121"/>
      <c r="L29" s="121"/>
      <c r="M29" s="121"/>
      <c r="N29" s="122"/>
      <c r="O29" s="78"/>
      <c r="P29" s="122"/>
      <c r="Q29" s="97"/>
      <c r="R29" s="79"/>
      <c r="S29" s="79"/>
      <c r="T29" s="79"/>
      <c r="U29" s="79"/>
      <c r="V29" s="79"/>
      <c r="W29" s="79"/>
      <c r="X29" s="79"/>
    </row>
    <row r="30">
      <c r="A30" s="116"/>
      <c r="B30" s="103"/>
      <c r="C30" s="119"/>
      <c r="D30" s="120"/>
      <c r="E30" s="85"/>
      <c r="F30" s="49"/>
      <c r="G30" s="73"/>
      <c r="H30" s="67"/>
      <c r="I30" s="69"/>
      <c r="J30" s="72"/>
      <c r="K30" s="121"/>
      <c r="L30" s="121"/>
      <c r="M30" s="121"/>
      <c r="N30" s="122"/>
      <c r="O30" s="78"/>
      <c r="P30" s="122"/>
      <c r="Q30" s="97"/>
      <c r="R30" s="79"/>
      <c r="S30" s="79"/>
      <c r="T30" s="79"/>
      <c r="U30" s="79"/>
      <c r="V30" s="79"/>
      <c r="W30" s="79"/>
      <c r="X30" s="79"/>
    </row>
    <row r="31">
      <c r="A31" s="116"/>
      <c r="B31" s="123"/>
      <c r="C31" s="119"/>
      <c r="D31" s="120"/>
      <c r="E31" s="85"/>
      <c r="F31" s="49"/>
      <c r="G31" s="73"/>
      <c r="H31" s="67"/>
      <c r="I31" s="69"/>
      <c r="J31" s="72"/>
      <c r="K31" s="121"/>
      <c r="L31" s="121"/>
      <c r="M31" s="121"/>
      <c r="N31" s="122"/>
      <c r="O31" s="78"/>
      <c r="P31" s="122"/>
      <c r="Q31" s="97"/>
      <c r="R31" s="79"/>
      <c r="S31" s="79"/>
      <c r="T31" s="79"/>
      <c r="U31" s="79"/>
      <c r="V31" s="79"/>
      <c r="W31" s="79"/>
      <c r="X31" s="79"/>
    </row>
    <row r="32">
      <c r="A32" s="116"/>
      <c r="B32" s="123"/>
      <c r="C32" s="119"/>
      <c r="D32" s="120"/>
      <c r="E32" s="85"/>
      <c r="F32" s="49"/>
      <c r="G32" s="73"/>
      <c r="H32" s="67"/>
      <c r="I32" s="69"/>
      <c r="J32" s="72"/>
      <c r="K32" s="121"/>
      <c r="L32" s="121"/>
      <c r="M32" s="121"/>
      <c r="N32" s="122"/>
      <c r="O32" s="78"/>
      <c r="P32" s="122"/>
      <c r="Q32" s="97"/>
      <c r="R32" s="79"/>
      <c r="S32" s="79"/>
      <c r="T32" s="79"/>
      <c r="U32" s="79"/>
      <c r="V32" s="79"/>
      <c r="W32" s="79"/>
      <c r="X32" s="79"/>
    </row>
    <row r="33">
      <c r="A33" s="116"/>
      <c r="B33" s="123"/>
      <c r="C33" s="123"/>
      <c r="D33" s="124"/>
      <c r="E33" s="85"/>
      <c r="F33" s="49"/>
      <c r="G33" s="73"/>
      <c r="H33" s="67"/>
      <c r="I33" s="69"/>
      <c r="J33" s="72"/>
      <c r="K33" s="121"/>
      <c r="L33" s="121"/>
      <c r="M33" s="121"/>
      <c r="N33" s="122"/>
      <c r="O33" s="78"/>
      <c r="P33" s="122"/>
      <c r="Q33" s="97"/>
      <c r="R33" s="79"/>
      <c r="S33" s="79"/>
      <c r="T33" s="79"/>
      <c r="U33" s="79"/>
      <c r="V33" s="79"/>
      <c r="W33" s="79"/>
      <c r="X33" s="79"/>
    </row>
    <row r="34">
      <c r="A34" s="116"/>
      <c r="B34" s="123"/>
      <c r="C34" s="123"/>
      <c r="D34" s="124"/>
      <c r="E34" s="85"/>
      <c r="F34" s="49"/>
      <c r="G34" s="73"/>
      <c r="H34" s="67"/>
      <c r="I34" s="69"/>
      <c r="J34" s="72"/>
      <c r="K34" s="121"/>
      <c r="L34" s="121"/>
      <c r="M34" s="121"/>
      <c r="N34" s="122"/>
      <c r="O34" s="78"/>
      <c r="P34" s="122"/>
      <c r="Q34" s="97"/>
      <c r="R34" s="79"/>
      <c r="S34" s="79"/>
      <c r="T34" s="79"/>
      <c r="U34" s="79"/>
      <c r="V34" s="79"/>
      <c r="W34" s="79"/>
      <c r="X34" s="79"/>
    </row>
    <row r="35">
      <c r="A35" s="116"/>
      <c r="B35" s="123"/>
      <c r="C35" s="123"/>
      <c r="D35" s="124"/>
      <c r="E35" s="85"/>
      <c r="F35" s="49"/>
      <c r="G35" s="73"/>
      <c r="H35" s="67"/>
      <c r="I35" s="69"/>
      <c r="J35" s="72"/>
      <c r="K35" s="121"/>
      <c r="L35" s="121"/>
      <c r="M35" s="121"/>
      <c r="N35" s="122"/>
      <c r="O35" s="78"/>
      <c r="P35" s="122"/>
      <c r="Q35" s="97"/>
      <c r="R35" s="79"/>
      <c r="S35" s="79"/>
      <c r="T35" s="79"/>
      <c r="U35" s="79"/>
      <c r="V35" s="79"/>
      <c r="W35" s="79"/>
      <c r="X35" s="79"/>
    </row>
    <row r="36">
      <c r="A36" s="116"/>
      <c r="B36" s="123"/>
      <c r="C36" s="123"/>
      <c r="D36" s="124"/>
      <c r="E36" s="85"/>
      <c r="F36" s="49"/>
      <c r="G36" s="73"/>
      <c r="H36" s="67"/>
      <c r="I36" s="69"/>
      <c r="J36" s="72"/>
      <c r="K36" s="121"/>
      <c r="L36" s="121"/>
      <c r="M36" s="121"/>
      <c r="N36" s="122"/>
      <c r="O36" s="78"/>
      <c r="P36" s="122"/>
      <c r="Q36" s="97"/>
      <c r="R36" s="79"/>
      <c r="S36" s="79"/>
      <c r="T36" s="79"/>
      <c r="U36" s="79"/>
      <c r="V36" s="79"/>
      <c r="W36" s="79"/>
      <c r="X36" s="79"/>
    </row>
    <row r="37">
      <c r="A37" s="116"/>
      <c r="B37" s="123"/>
      <c r="C37" s="123"/>
      <c r="D37" s="124"/>
      <c r="E37" s="85"/>
      <c r="F37" s="49"/>
      <c r="G37" s="73"/>
      <c r="H37" s="67"/>
      <c r="I37" s="69"/>
      <c r="J37" s="72"/>
      <c r="K37" s="121"/>
      <c r="L37" s="121"/>
      <c r="M37" s="121"/>
      <c r="N37" s="122"/>
      <c r="O37" s="78"/>
      <c r="P37" s="122"/>
      <c r="Q37" s="97"/>
      <c r="R37" s="79"/>
      <c r="S37" s="79"/>
      <c r="T37" s="79"/>
      <c r="U37" s="79"/>
      <c r="V37" s="79"/>
      <c r="W37" s="79"/>
      <c r="X37" s="79"/>
    </row>
    <row r="38">
      <c r="A38" s="116"/>
      <c r="B38" s="123"/>
      <c r="C38" s="123"/>
      <c r="D38" s="124"/>
      <c r="E38" s="85"/>
      <c r="F38" s="49"/>
      <c r="G38" s="73"/>
      <c r="H38" s="67"/>
      <c r="I38" s="69"/>
      <c r="J38" s="72"/>
      <c r="K38" s="121"/>
      <c r="L38" s="121"/>
      <c r="M38" s="121"/>
      <c r="N38" s="122"/>
      <c r="O38" s="78"/>
      <c r="P38" s="122"/>
      <c r="Q38" s="97"/>
      <c r="R38" s="79"/>
      <c r="S38" s="79"/>
      <c r="T38" s="79"/>
      <c r="U38" s="79"/>
      <c r="V38" s="79"/>
      <c r="W38" s="79"/>
      <c r="X38" s="79"/>
    </row>
    <row r="39">
      <c r="A39" s="116"/>
      <c r="B39" s="123"/>
      <c r="C39" s="123"/>
      <c r="D39" s="124"/>
      <c r="E39" s="85"/>
      <c r="F39" s="49"/>
      <c r="G39" s="73"/>
      <c r="H39" s="67"/>
      <c r="I39" s="69"/>
      <c r="J39" s="72"/>
      <c r="K39" s="121"/>
      <c r="L39" s="121"/>
      <c r="M39" s="121"/>
      <c r="N39" s="122"/>
      <c r="O39" s="78"/>
      <c r="P39" s="122"/>
      <c r="Q39" s="97"/>
      <c r="R39" s="79"/>
      <c r="S39" s="79"/>
      <c r="T39" s="79"/>
      <c r="U39" s="79"/>
      <c r="V39" s="79"/>
      <c r="W39" s="79"/>
      <c r="X39" s="79"/>
    </row>
    <row r="40">
      <c r="A40" s="116"/>
      <c r="B40" s="123"/>
      <c r="C40" s="123"/>
      <c r="D40" s="124"/>
      <c r="E40" s="85"/>
      <c r="F40" s="49"/>
      <c r="G40" s="73"/>
      <c r="H40" s="67"/>
      <c r="I40" s="69"/>
      <c r="J40" s="72"/>
      <c r="K40" s="121"/>
      <c r="L40" s="121"/>
      <c r="M40" s="121"/>
      <c r="N40" s="122"/>
      <c r="O40" s="78"/>
      <c r="P40" s="122"/>
      <c r="Q40" s="97"/>
      <c r="R40" s="79"/>
      <c r="S40" s="79"/>
      <c r="T40" s="79"/>
      <c r="U40" s="79"/>
      <c r="V40" s="79"/>
      <c r="W40" s="79"/>
      <c r="X40" s="79"/>
    </row>
    <row r="41">
      <c r="A41" s="116"/>
      <c r="B41" s="123"/>
      <c r="C41" s="123"/>
      <c r="D41" s="124"/>
      <c r="E41" s="85"/>
      <c r="F41" s="49"/>
      <c r="G41" s="73"/>
      <c r="H41" s="67"/>
      <c r="I41" s="69"/>
      <c r="J41" s="72"/>
      <c r="K41" s="121"/>
      <c r="L41" s="121"/>
      <c r="M41" s="121"/>
      <c r="N41" s="122"/>
      <c r="O41" s="78"/>
      <c r="P41" s="122"/>
      <c r="Q41" s="97"/>
      <c r="R41" s="79"/>
      <c r="S41" s="79"/>
      <c r="T41" s="79"/>
      <c r="U41" s="79"/>
      <c r="V41" s="79"/>
      <c r="W41" s="79"/>
      <c r="X41" s="79"/>
    </row>
    <row r="42">
      <c r="A42" s="116"/>
      <c r="B42" s="119"/>
      <c r="C42" s="119"/>
      <c r="D42" s="120"/>
      <c r="E42" s="85"/>
      <c r="F42" s="49"/>
      <c r="G42" s="73"/>
      <c r="H42" s="67"/>
      <c r="I42" s="69"/>
      <c r="J42" s="72"/>
      <c r="K42" s="121"/>
      <c r="L42" s="121"/>
      <c r="M42" s="121"/>
      <c r="N42" s="122"/>
      <c r="O42" s="78"/>
      <c r="P42" s="122"/>
      <c r="Q42" s="97"/>
      <c r="R42" s="79"/>
      <c r="S42" s="79"/>
      <c r="T42" s="79"/>
      <c r="U42" s="79"/>
      <c r="V42" s="79"/>
      <c r="W42" s="79"/>
      <c r="X42" s="79"/>
    </row>
    <row r="43">
      <c r="A43" s="116"/>
      <c r="B43" s="119"/>
      <c r="C43" s="119"/>
      <c r="D43" s="120"/>
      <c r="E43" s="85"/>
      <c r="F43" s="49"/>
      <c r="G43" s="73"/>
      <c r="H43" s="67"/>
      <c r="I43" s="69"/>
      <c r="J43" s="72"/>
      <c r="K43" s="121"/>
      <c r="L43" s="121"/>
      <c r="M43" s="121"/>
      <c r="N43" s="122"/>
      <c r="O43" s="78"/>
      <c r="P43" s="122"/>
      <c r="Q43" s="97"/>
      <c r="R43" s="79"/>
      <c r="S43" s="79"/>
      <c r="T43" s="79"/>
      <c r="U43" s="79"/>
      <c r="V43" s="79"/>
      <c r="W43" s="79"/>
      <c r="X43" s="79"/>
    </row>
    <row r="44">
      <c r="A44" s="79"/>
      <c r="B44" s="79"/>
      <c r="C44" s="79"/>
      <c r="D44" s="79"/>
      <c r="E44" s="79"/>
      <c r="F44" s="125"/>
      <c r="G44" s="79"/>
      <c r="H44" s="79"/>
      <c r="I44" s="79"/>
      <c r="J44" s="79"/>
      <c r="K44" s="79"/>
      <c r="L44" s="79"/>
      <c r="M44" s="79"/>
      <c r="N44" s="79"/>
      <c r="O44" s="125"/>
      <c r="P44" s="79"/>
      <c r="Q44" s="97"/>
      <c r="R44" s="79"/>
      <c r="S44" s="79"/>
      <c r="T44" s="79"/>
      <c r="U44" s="79"/>
      <c r="V44" s="79"/>
      <c r="W44" s="79"/>
      <c r="X44" s="79"/>
    </row>
    <row r="45">
      <c r="A45" s="79"/>
      <c r="B45" s="79"/>
      <c r="C45" s="79"/>
      <c r="D45" s="79"/>
      <c r="E45" s="79"/>
      <c r="F45" s="125"/>
      <c r="G45" s="79"/>
      <c r="H45" s="79"/>
      <c r="I45" s="79"/>
      <c r="J45" s="79"/>
      <c r="K45" s="79"/>
      <c r="L45" s="79"/>
      <c r="M45" s="79"/>
      <c r="N45" s="79"/>
      <c r="O45" s="125"/>
      <c r="P45" s="79"/>
      <c r="Q45" s="97"/>
      <c r="R45" s="79"/>
      <c r="S45" s="79"/>
      <c r="T45" s="79"/>
      <c r="U45" s="79"/>
      <c r="V45" s="79"/>
      <c r="W45" s="79"/>
      <c r="X45" s="79"/>
    </row>
    <row r="46">
      <c r="A46" s="79"/>
      <c r="B46" s="79"/>
      <c r="C46" s="79"/>
      <c r="D46" s="79"/>
      <c r="E46" s="79"/>
      <c r="F46" s="125"/>
      <c r="G46" s="79"/>
      <c r="H46" s="79"/>
      <c r="I46" s="79"/>
      <c r="J46" s="79"/>
      <c r="K46" s="79"/>
      <c r="L46" s="79"/>
      <c r="M46" s="79"/>
      <c r="N46" s="79"/>
      <c r="O46" s="125"/>
      <c r="P46" s="79"/>
      <c r="Q46" s="97"/>
      <c r="R46" s="79"/>
      <c r="S46" s="79"/>
      <c r="T46" s="79"/>
      <c r="U46" s="79"/>
      <c r="V46" s="79"/>
      <c r="W46" s="79"/>
      <c r="X46" s="79"/>
    </row>
    <row r="47">
      <c r="A47" s="79"/>
      <c r="B47" s="79"/>
      <c r="C47" s="79"/>
      <c r="D47" s="79"/>
      <c r="E47" s="79"/>
      <c r="F47" s="125"/>
      <c r="G47" s="79"/>
      <c r="H47" s="79"/>
      <c r="I47" s="79"/>
      <c r="J47" s="79"/>
      <c r="K47" s="79"/>
      <c r="L47" s="79"/>
      <c r="M47" s="79"/>
      <c r="N47" s="79"/>
      <c r="O47" s="125"/>
      <c r="P47" s="79"/>
      <c r="Q47" s="97"/>
      <c r="R47" s="79"/>
      <c r="S47" s="79"/>
      <c r="T47" s="79"/>
      <c r="U47" s="79"/>
      <c r="V47" s="79"/>
      <c r="W47" s="79"/>
      <c r="X47" s="79"/>
    </row>
    <row r="48">
      <c r="A48" s="79"/>
      <c r="B48" s="79"/>
      <c r="C48" s="79"/>
      <c r="D48" s="79"/>
      <c r="E48" s="79"/>
      <c r="F48" s="125"/>
      <c r="G48" s="79"/>
      <c r="H48" s="79"/>
      <c r="I48" s="79"/>
      <c r="J48" s="79"/>
      <c r="K48" s="79"/>
      <c r="L48" s="79"/>
      <c r="M48" s="79"/>
      <c r="N48" s="79"/>
      <c r="O48" s="125"/>
      <c r="P48" s="79"/>
      <c r="Q48" s="97"/>
      <c r="R48" s="79"/>
      <c r="S48" s="79"/>
      <c r="T48" s="79"/>
      <c r="U48" s="79"/>
      <c r="V48" s="79"/>
      <c r="W48" s="79"/>
      <c r="X48" s="79"/>
    </row>
    <row r="49">
      <c r="A49" s="79"/>
      <c r="B49" s="79"/>
      <c r="C49" s="79"/>
      <c r="D49" s="79"/>
      <c r="E49" s="79"/>
      <c r="F49" s="125"/>
      <c r="G49" s="79"/>
      <c r="H49" s="79"/>
      <c r="I49" s="79"/>
      <c r="J49" s="79"/>
      <c r="K49" s="79"/>
      <c r="L49" s="79"/>
      <c r="M49" s="79"/>
      <c r="N49" s="79"/>
      <c r="O49" s="125"/>
      <c r="P49" s="79"/>
      <c r="Q49" s="97"/>
      <c r="R49" s="79"/>
      <c r="S49" s="79"/>
      <c r="T49" s="79"/>
      <c r="U49" s="79"/>
      <c r="V49" s="79"/>
      <c r="W49" s="79"/>
      <c r="X49" s="79"/>
    </row>
    <row r="50">
      <c r="A50" s="79"/>
      <c r="B50" s="79"/>
      <c r="C50" s="79"/>
      <c r="D50" s="79"/>
      <c r="E50" s="79"/>
      <c r="F50" s="125"/>
      <c r="G50" s="79"/>
      <c r="H50" s="79"/>
      <c r="I50" s="79"/>
      <c r="J50" s="79"/>
      <c r="K50" s="79"/>
      <c r="L50" s="79"/>
      <c r="M50" s="79"/>
      <c r="N50" s="79"/>
      <c r="O50" s="125"/>
      <c r="P50" s="79"/>
      <c r="Q50" s="97"/>
      <c r="R50" s="79"/>
      <c r="S50" s="79"/>
      <c r="T50" s="79"/>
      <c r="U50" s="79"/>
      <c r="V50" s="79"/>
      <c r="W50" s="79"/>
      <c r="X50" s="79"/>
    </row>
    <row r="51">
      <c r="A51" s="79"/>
      <c r="B51" s="79"/>
      <c r="C51" s="79"/>
      <c r="D51" s="79"/>
      <c r="E51" s="79"/>
      <c r="F51" s="125"/>
      <c r="G51" s="79"/>
      <c r="H51" s="79"/>
      <c r="I51" s="79"/>
      <c r="J51" s="79"/>
      <c r="K51" s="79"/>
      <c r="L51" s="79"/>
      <c r="M51" s="79"/>
      <c r="N51" s="79"/>
      <c r="O51" s="125"/>
      <c r="P51" s="79"/>
      <c r="Q51" s="97"/>
      <c r="R51" s="79"/>
      <c r="S51" s="79"/>
      <c r="T51" s="79"/>
      <c r="U51" s="79"/>
      <c r="V51" s="79"/>
      <c r="W51" s="79"/>
      <c r="X51" s="79"/>
    </row>
    <row r="52">
      <c r="A52" s="79"/>
      <c r="B52" s="79"/>
      <c r="C52" s="79"/>
      <c r="D52" s="79"/>
      <c r="E52" s="79"/>
      <c r="F52" s="125"/>
      <c r="G52" s="79"/>
      <c r="H52" s="79"/>
      <c r="I52" s="79"/>
      <c r="J52" s="79"/>
      <c r="K52" s="79"/>
      <c r="L52" s="79"/>
      <c r="M52" s="79"/>
      <c r="N52" s="79"/>
      <c r="O52" s="125"/>
      <c r="P52" s="79"/>
      <c r="Q52" s="97"/>
      <c r="R52" s="79"/>
      <c r="S52" s="79"/>
      <c r="T52" s="79"/>
      <c r="U52" s="79"/>
      <c r="V52" s="79"/>
      <c r="W52" s="79"/>
      <c r="X52" s="79"/>
    </row>
    <row r="53">
      <c r="A53" s="79"/>
      <c r="B53" s="79"/>
      <c r="C53" s="79"/>
      <c r="D53" s="79"/>
      <c r="E53" s="79"/>
      <c r="F53" s="125"/>
      <c r="G53" s="79"/>
      <c r="H53" s="79"/>
      <c r="I53" s="79"/>
      <c r="J53" s="79"/>
      <c r="K53" s="79"/>
      <c r="L53" s="79"/>
      <c r="M53" s="79"/>
      <c r="N53" s="79"/>
      <c r="O53" s="125"/>
      <c r="P53" s="79"/>
      <c r="Q53" s="97"/>
      <c r="R53" s="79"/>
      <c r="S53" s="79"/>
      <c r="T53" s="79"/>
      <c r="U53" s="79"/>
      <c r="V53" s="79"/>
      <c r="W53" s="79"/>
      <c r="X53" s="79"/>
    </row>
    <row r="54">
      <c r="A54" s="79"/>
      <c r="B54" s="79"/>
      <c r="C54" s="79"/>
      <c r="D54" s="79"/>
      <c r="E54" s="79"/>
      <c r="F54" s="125"/>
      <c r="G54" s="79"/>
      <c r="H54" s="79"/>
      <c r="I54" s="79"/>
      <c r="J54" s="79"/>
      <c r="K54" s="79"/>
      <c r="L54" s="79"/>
      <c r="M54" s="79"/>
      <c r="N54" s="79"/>
      <c r="O54" s="125"/>
      <c r="P54" s="79"/>
      <c r="Q54" s="97"/>
      <c r="R54" s="79"/>
      <c r="S54" s="79"/>
      <c r="T54" s="79"/>
      <c r="U54" s="79"/>
      <c r="V54" s="79"/>
      <c r="W54" s="79"/>
      <c r="X54" s="79"/>
    </row>
    <row r="55">
      <c r="A55" s="79"/>
      <c r="B55" s="79"/>
      <c r="C55" s="79"/>
      <c r="D55" s="79"/>
      <c r="E55" s="79"/>
      <c r="F55" s="125"/>
      <c r="G55" s="79"/>
      <c r="H55" s="79"/>
      <c r="I55" s="79"/>
      <c r="J55" s="79"/>
      <c r="K55" s="79"/>
      <c r="L55" s="79"/>
      <c r="M55" s="79"/>
      <c r="N55" s="79"/>
      <c r="O55" s="125"/>
      <c r="P55" s="79"/>
      <c r="Q55" s="97"/>
      <c r="R55" s="79"/>
      <c r="S55" s="79"/>
      <c r="T55" s="79"/>
      <c r="U55" s="79"/>
      <c r="V55" s="79"/>
      <c r="W55" s="79"/>
      <c r="X55" s="79"/>
    </row>
    <row r="56">
      <c r="A56" s="79"/>
      <c r="B56" s="79"/>
      <c r="C56" s="79"/>
      <c r="D56" s="79"/>
      <c r="E56" s="79"/>
      <c r="F56" s="125"/>
      <c r="G56" s="79"/>
      <c r="H56" s="79"/>
      <c r="I56" s="79"/>
      <c r="J56" s="79"/>
      <c r="K56" s="79"/>
      <c r="L56" s="79"/>
      <c r="M56" s="79"/>
      <c r="N56" s="79"/>
      <c r="O56" s="125"/>
      <c r="P56" s="79"/>
      <c r="Q56" s="97"/>
      <c r="R56" s="79"/>
      <c r="S56" s="79"/>
      <c r="T56" s="79"/>
      <c r="U56" s="79"/>
      <c r="V56" s="79"/>
      <c r="W56" s="79"/>
      <c r="X56" s="79"/>
    </row>
    <row r="57">
      <c r="A57" s="79"/>
      <c r="B57" s="79"/>
      <c r="C57" s="79"/>
      <c r="D57" s="79"/>
      <c r="E57" s="79"/>
      <c r="F57" s="125"/>
      <c r="G57" s="79"/>
      <c r="H57" s="79"/>
      <c r="I57" s="79"/>
      <c r="J57" s="79"/>
      <c r="K57" s="79"/>
      <c r="L57" s="79"/>
      <c r="M57" s="79"/>
      <c r="N57" s="79"/>
      <c r="O57" s="125"/>
      <c r="P57" s="79"/>
      <c r="Q57" s="97"/>
      <c r="R57" s="79"/>
      <c r="S57" s="79"/>
      <c r="T57" s="79"/>
      <c r="U57" s="79"/>
      <c r="V57" s="79"/>
      <c r="W57" s="79"/>
      <c r="X57" s="79"/>
    </row>
    <row r="58">
      <c r="A58" s="79"/>
      <c r="B58" s="79"/>
      <c r="C58" s="79"/>
      <c r="D58" s="79"/>
      <c r="E58" s="79"/>
      <c r="F58" s="125"/>
      <c r="G58" s="79"/>
      <c r="H58" s="79"/>
      <c r="I58" s="79"/>
      <c r="J58" s="79"/>
      <c r="K58" s="79"/>
      <c r="L58" s="79"/>
      <c r="M58" s="79"/>
      <c r="N58" s="79"/>
      <c r="O58" s="125"/>
      <c r="P58" s="79"/>
      <c r="Q58" s="97"/>
      <c r="R58" s="79"/>
      <c r="S58" s="79"/>
      <c r="T58" s="79"/>
      <c r="U58" s="79"/>
      <c r="V58" s="79"/>
      <c r="W58" s="79"/>
      <c r="X58" s="79"/>
    </row>
    <row r="59">
      <c r="A59" s="79"/>
      <c r="B59" s="79"/>
      <c r="C59" s="79"/>
      <c r="D59" s="79"/>
      <c r="E59" s="79"/>
      <c r="F59" s="125"/>
      <c r="G59" s="79"/>
      <c r="H59" s="79"/>
      <c r="I59" s="79"/>
      <c r="J59" s="79"/>
      <c r="K59" s="79"/>
      <c r="L59" s="79"/>
      <c r="M59" s="79"/>
      <c r="N59" s="79"/>
      <c r="O59" s="125"/>
      <c r="P59" s="79"/>
      <c r="Q59" s="97"/>
      <c r="R59" s="79"/>
      <c r="S59" s="79"/>
      <c r="T59" s="79"/>
      <c r="U59" s="79"/>
      <c r="V59" s="79"/>
      <c r="W59" s="79"/>
      <c r="X59" s="79"/>
    </row>
    <row r="60">
      <c r="A60" s="79"/>
      <c r="B60" s="79"/>
      <c r="C60" s="79"/>
      <c r="D60" s="79"/>
      <c r="E60" s="79"/>
      <c r="F60" s="125"/>
      <c r="G60" s="79"/>
      <c r="H60" s="79"/>
      <c r="I60" s="79"/>
      <c r="J60" s="79"/>
      <c r="K60" s="79"/>
      <c r="L60" s="79"/>
      <c r="M60" s="79"/>
      <c r="N60" s="79"/>
      <c r="O60" s="125"/>
      <c r="P60" s="79"/>
      <c r="Q60" s="97"/>
      <c r="R60" s="79"/>
      <c r="S60" s="79"/>
      <c r="T60" s="79"/>
      <c r="U60" s="79"/>
      <c r="V60" s="79"/>
      <c r="W60" s="79"/>
      <c r="X60" s="79"/>
    </row>
    <row r="61">
      <c r="A61" s="79"/>
      <c r="B61" s="79"/>
      <c r="C61" s="79"/>
      <c r="D61" s="79"/>
      <c r="E61" s="79"/>
      <c r="F61" s="125"/>
      <c r="G61" s="79"/>
      <c r="H61" s="79"/>
      <c r="I61" s="79"/>
      <c r="J61" s="79"/>
      <c r="K61" s="79"/>
      <c r="L61" s="79"/>
      <c r="M61" s="79"/>
      <c r="N61" s="79"/>
      <c r="O61" s="125"/>
      <c r="P61" s="79"/>
      <c r="Q61" s="97"/>
      <c r="R61" s="79"/>
      <c r="S61" s="79"/>
      <c r="T61" s="79"/>
      <c r="U61" s="79"/>
      <c r="V61" s="79"/>
      <c r="W61" s="79"/>
      <c r="X61" s="79"/>
    </row>
    <row r="62">
      <c r="A62" s="1"/>
      <c r="B62" s="1"/>
      <c r="C62" s="1"/>
      <c r="D62" s="1"/>
      <c r="E62" s="1"/>
      <c r="F62" s="126"/>
      <c r="O62" s="11"/>
      <c r="Q62" s="97"/>
    </row>
    <row r="63">
      <c r="A63" s="1"/>
      <c r="B63" s="1"/>
      <c r="C63" s="1"/>
      <c r="D63" s="1"/>
      <c r="E63" s="1"/>
      <c r="F63" s="126"/>
      <c r="O63" s="11"/>
      <c r="Q63" s="97"/>
    </row>
    <row r="64">
      <c r="A64" s="1"/>
      <c r="B64" s="1"/>
      <c r="C64" s="1"/>
      <c r="D64" s="1"/>
      <c r="E64" s="1"/>
      <c r="F64" s="126"/>
      <c r="O64" s="11"/>
      <c r="Q64" s="97"/>
    </row>
    <row r="65">
      <c r="A65" s="1"/>
      <c r="B65" s="1"/>
      <c r="C65" s="1"/>
      <c r="D65" s="1"/>
      <c r="E65" s="1"/>
      <c r="F65" s="126"/>
      <c r="O65" s="11"/>
      <c r="Q65" s="97"/>
    </row>
    <row r="66">
      <c r="A66" s="1"/>
      <c r="B66" s="1"/>
      <c r="C66" s="1"/>
      <c r="D66" s="1"/>
      <c r="E66" s="1"/>
      <c r="F66" s="126"/>
      <c r="O66" s="11"/>
      <c r="Q66" s="97"/>
    </row>
    <row r="67">
      <c r="A67" s="1"/>
      <c r="B67" s="1"/>
      <c r="C67" s="1"/>
      <c r="D67" s="1"/>
      <c r="E67" s="1"/>
      <c r="F67" s="126"/>
      <c r="O67" s="11"/>
      <c r="Q67" s="97"/>
    </row>
    <row r="68">
      <c r="A68" s="1"/>
      <c r="B68" s="1"/>
      <c r="C68" s="1"/>
      <c r="D68" s="1"/>
      <c r="E68" s="1"/>
      <c r="F68" s="126"/>
      <c r="O68" s="11"/>
      <c r="Q68" s="97"/>
    </row>
    <row r="69">
      <c r="A69" s="1"/>
      <c r="B69" s="1"/>
      <c r="C69" s="1"/>
      <c r="D69" s="1"/>
      <c r="E69" s="1"/>
      <c r="F69" s="126"/>
      <c r="O69" s="11"/>
      <c r="Q69" s="97"/>
    </row>
    <row r="70">
      <c r="A70" s="1"/>
      <c r="B70" s="1"/>
      <c r="C70" s="1"/>
      <c r="D70" s="1"/>
      <c r="E70" s="1"/>
      <c r="F70" s="126"/>
      <c r="O70" s="11"/>
      <c r="Q70" s="97"/>
    </row>
    <row r="71">
      <c r="A71" s="1"/>
      <c r="B71" s="1"/>
      <c r="C71" s="1"/>
      <c r="D71" s="1"/>
      <c r="E71" s="1"/>
      <c r="F71" s="126"/>
      <c r="O71" s="11"/>
      <c r="Q71" s="97"/>
    </row>
    <row r="72">
      <c r="A72" s="1"/>
      <c r="B72" s="1"/>
      <c r="C72" s="1"/>
      <c r="D72" s="1"/>
      <c r="E72" s="1"/>
      <c r="F72" s="126"/>
      <c r="O72" s="11"/>
      <c r="Q72" s="97"/>
    </row>
    <row r="73">
      <c r="A73" s="1"/>
      <c r="B73" s="1"/>
      <c r="C73" s="1"/>
      <c r="D73" s="1"/>
      <c r="E73" s="1"/>
      <c r="F73" s="126"/>
      <c r="O73" s="11"/>
      <c r="Q73" s="97"/>
    </row>
    <row r="74">
      <c r="A74" s="1"/>
      <c r="B74" s="1"/>
      <c r="C74" s="1"/>
      <c r="D74" s="1"/>
      <c r="E74" s="1"/>
      <c r="F74" s="126"/>
      <c r="O74" s="11"/>
      <c r="Q74" s="97"/>
    </row>
    <row r="75">
      <c r="A75" s="1"/>
      <c r="B75" s="1"/>
      <c r="C75" s="1"/>
      <c r="D75" s="1"/>
      <c r="E75" s="1"/>
      <c r="F75" s="126"/>
      <c r="O75" s="11"/>
      <c r="Q75" s="97"/>
    </row>
    <row r="76">
      <c r="A76" s="1"/>
      <c r="B76" s="1"/>
      <c r="C76" s="1"/>
      <c r="D76" s="1"/>
      <c r="E76" s="1"/>
      <c r="F76" s="126"/>
      <c r="O76" s="11"/>
      <c r="Q76" s="97"/>
    </row>
    <row r="77">
      <c r="A77" s="1"/>
      <c r="B77" s="1"/>
      <c r="C77" s="1"/>
      <c r="D77" s="1"/>
      <c r="E77" s="1"/>
      <c r="F77" s="126"/>
      <c r="O77" s="11"/>
      <c r="Q77" s="97"/>
    </row>
    <row r="78">
      <c r="A78" s="1"/>
      <c r="B78" s="1"/>
      <c r="C78" s="1"/>
      <c r="D78" s="1"/>
      <c r="E78" s="1"/>
      <c r="F78" s="126"/>
      <c r="O78" s="11"/>
      <c r="Q78" s="97"/>
    </row>
    <row r="79">
      <c r="A79" s="1"/>
      <c r="B79" s="1"/>
      <c r="C79" s="1"/>
      <c r="D79" s="1"/>
      <c r="E79" s="1"/>
      <c r="F79" s="126"/>
      <c r="O79" s="11"/>
      <c r="Q79" s="97"/>
    </row>
    <row r="80">
      <c r="A80" s="1"/>
      <c r="B80" s="1"/>
      <c r="C80" s="1"/>
      <c r="D80" s="1"/>
      <c r="E80" s="1"/>
      <c r="F80" s="126"/>
      <c r="O80" s="11"/>
      <c r="Q80" s="97"/>
    </row>
    <row r="81">
      <c r="A81" s="1"/>
      <c r="B81" s="1"/>
      <c r="C81" s="1"/>
      <c r="D81" s="1"/>
      <c r="E81" s="1"/>
      <c r="F81" s="126"/>
      <c r="O81" s="11"/>
      <c r="Q81" s="97"/>
    </row>
    <row r="82">
      <c r="A82" s="1"/>
      <c r="B82" s="1"/>
      <c r="C82" s="1"/>
      <c r="D82" s="1"/>
      <c r="E82" s="1"/>
      <c r="F82" s="126"/>
      <c r="O82" s="11"/>
      <c r="Q82" s="97"/>
    </row>
    <row r="83">
      <c r="A83" s="1"/>
      <c r="B83" s="1"/>
      <c r="C83" s="1"/>
      <c r="D83" s="1"/>
      <c r="E83" s="1"/>
      <c r="F83" s="126"/>
      <c r="O83" s="11"/>
      <c r="Q83" s="97"/>
    </row>
    <row r="84">
      <c r="A84" s="1"/>
      <c r="B84" s="1"/>
      <c r="C84" s="1"/>
      <c r="D84" s="1"/>
      <c r="E84" s="1"/>
      <c r="F84" s="126"/>
      <c r="O84" s="11"/>
      <c r="Q84" s="97"/>
    </row>
    <row r="85">
      <c r="A85" s="1"/>
      <c r="B85" s="1"/>
      <c r="C85" s="1"/>
      <c r="D85" s="1"/>
      <c r="E85" s="1"/>
      <c r="F85" s="126"/>
      <c r="O85" s="11"/>
      <c r="Q85" s="97"/>
    </row>
    <row r="86">
      <c r="A86" s="1"/>
      <c r="B86" s="1"/>
      <c r="C86" s="1"/>
      <c r="D86" s="1"/>
      <c r="E86" s="1"/>
      <c r="F86" s="126"/>
      <c r="O86" s="11"/>
      <c r="Q86" s="97"/>
    </row>
    <row r="87">
      <c r="A87" s="1"/>
      <c r="B87" s="1"/>
      <c r="C87" s="1"/>
      <c r="D87" s="1"/>
      <c r="E87" s="1"/>
      <c r="F87" s="126"/>
      <c r="O87" s="11"/>
      <c r="Q87" s="97"/>
    </row>
    <row r="88">
      <c r="A88" s="1"/>
      <c r="B88" s="1"/>
      <c r="C88" s="1"/>
      <c r="D88" s="1"/>
      <c r="E88" s="1"/>
      <c r="F88" s="126"/>
      <c r="O88" s="11"/>
      <c r="Q88" s="97"/>
    </row>
    <row r="89">
      <c r="A89" s="1"/>
      <c r="B89" s="1"/>
      <c r="C89" s="1"/>
      <c r="D89" s="1"/>
      <c r="E89" s="1"/>
      <c r="F89" s="126"/>
      <c r="O89" s="11"/>
      <c r="Q89" s="97"/>
    </row>
    <row r="90">
      <c r="A90" s="1"/>
      <c r="B90" s="1"/>
      <c r="C90" s="1"/>
      <c r="D90" s="1"/>
      <c r="E90" s="1"/>
      <c r="F90" s="126"/>
      <c r="O90" s="11"/>
      <c r="Q90" s="97"/>
    </row>
    <row r="91">
      <c r="A91" s="1"/>
      <c r="B91" s="1"/>
      <c r="C91" s="1"/>
      <c r="D91" s="1"/>
      <c r="E91" s="1"/>
      <c r="F91" s="126"/>
      <c r="O91" s="11"/>
      <c r="Q91" s="97"/>
    </row>
    <row r="92">
      <c r="A92" s="1"/>
      <c r="B92" s="1"/>
      <c r="C92" s="1"/>
      <c r="D92" s="1"/>
      <c r="E92" s="1"/>
      <c r="F92" s="126"/>
      <c r="O92" s="11"/>
      <c r="Q92" s="97"/>
    </row>
    <row r="93">
      <c r="A93" s="1"/>
      <c r="B93" s="1"/>
      <c r="C93" s="1"/>
      <c r="D93" s="1"/>
      <c r="E93" s="1"/>
      <c r="F93" s="126"/>
      <c r="O93" s="11"/>
      <c r="Q93" s="97"/>
    </row>
    <row r="94">
      <c r="A94" s="1"/>
      <c r="B94" s="1"/>
      <c r="C94" s="1"/>
      <c r="D94" s="1"/>
      <c r="E94" s="1"/>
      <c r="F94" s="126"/>
      <c r="O94" s="11"/>
      <c r="Q94" s="97"/>
    </row>
    <row r="95">
      <c r="A95" s="1"/>
      <c r="B95" s="1"/>
      <c r="C95" s="1"/>
      <c r="D95" s="1"/>
      <c r="E95" s="1"/>
      <c r="F95" s="126"/>
      <c r="O95" s="11"/>
      <c r="Q95" s="97"/>
    </row>
    <row r="96">
      <c r="A96" s="1"/>
      <c r="B96" s="1"/>
      <c r="C96" s="1"/>
      <c r="D96" s="1"/>
      <c r="E96" s="1"/>
      <c r="F96" s="126"/>
      <c r="O96" s="11"/>
      <c r="Q96" s="97"/>
    </row>
    <row r="97">
      <c r="A97" s="1"/>
      <c r="B97" s="1"/>
      <c r="C97" s="1"/>
      <c r="D97" s="1"/>
      <c r="E97" s="1"/>
      <c r="F97" s="126"/>
      <c r="O97" s="11"/>
      <c r="Q97" s="97"/>
    </row>
    <row r="98">
      <c r="A98" s="1"/>
      <c r="B98" s="1"/>
      <c r="C98" s="1"/>
      <c r="D98" s="1"/>
      <c r="E98" s="1"/>
      <c r="F98" s="126"/>
      <c r="O98" s="11"/>
      <c r="Q98" s="97"/>
    </row>
    <row r="99">
      <c r="A99" s="1"/>
      <c r="B99" s="1"/>
      <c r="C99" s="1"/>
      <c r="D99" s="1"/>
      <c r="E99" s="1"/>
      <c r="F99" s="126"/>
      <c r="O99" s="11"/>
      <c r="Q99" s="97"/>
    </row>
    <row r="100">
      <c r="A100" s="1"/>
      <c r="B100" s="1"/>
      <c r="C100" s="1"/>
      <c r="D100" s="1"/>
      <c r="E100" s="1"/>
      <c r="F100" s="126"/>
      <c r="O100" s="11"/>
      <c r="Q100" s="97"/>
    </row>
    <row r="101">
      <c r="A101" s="1"/>
      <c r="B101" s="1"/>
      <c r="C101" s="1"/>
      <c r="D101" s="1"/>
      <c r="E101" s="1"/>
      <c r="F101" s="126"/>
      <c r="O101" s="11"/>
      <c r="Q101" s="97"/>
    </row>
    <row r="102">
      <c r="A102" s="1"/>
      <c r="B102" s="1"/>
      <c r="C102" s="1"/>
      <c r="D102" s="1"/>
      <c r="E102" s="1"/>
      <c r="F102" s="126"/>
      <c r="O102" s="11"/>
      <c r="Q102" s="97"/>
    </row>
    <row r="103">
      <c r="A103" s="1"/>
      <c r="B103" s="1"/>
      <c r="C103" s="1"/>
      <c r="D103" s="1"/>
      <c r="E103" s="1"/>
      <c r="F103" s="126"/>
      <c r="O103" s="11"/>
      <c r="Q103" s="97"/>
    </row>
    <row r="104">
      <c r="A104" s="1"/>
      <c r="B104" s="1"/>
      <c r="C104" s="1"/>
      <c r="D104" s="1"/>
      <c r="E104" s="1"/>
      <c r="F104" s="126"/>
      <c r="O104" s="11"/>
      <c r="Q104" s="97"/>
    </row>
    <row r="105">
      <c r="A105" s="1"/>
      <c r="B105" s="1"/>
      <c r="C105" s="1"/>
      <c r="D105" s="1"/>
      <c r="E105" s="1"/>
      <c r="F105" s="126"/>
      <c r="O105" s="11"/>
      <c r="Q105" s="97"/>
    </row>
    <row r="106">
      <c r="A106" s="1"/>
      <c r="B106" s="1"/>
      <c r="C106" s="1"/>
      <c r="D106" s="1"/>
      <c r="E106" s="1"/>
      <c r="F106" s="126"/>
      <c r="O106" s="11"/>
      <c r="Q106" s="97"/>
    </row>
    <row r="107">
      <c r="A107" s="1"/>
      <c r="B107" s="1"/>
      <c r="C107" s="1"/>
      <c r="D107" s="1"/>
      <c r="E107" s="1"/>
      <c r="F107" s="126"/>
      <c r="O107" s="11"/>
      <c r="Q107" s="97"/>
    </row>
    <row r="108">
      <c r="A108" s="1"/>
      <c r="B108" s="1"/>
      <c r="C108" s="1"/>
      <c r="D108" s="1"/>
      <c r="E108" s="1"/>
      <c r="F108" s="126"/>
      <c r="O108" s="11"/>
      <c r="Q108" s="97"/>
    </row>
    <row r="109">
      <c r="A109" s="1"/>
      <c r="B109" s="1"/>
      <c r="C109" s="1"/>
      <c r="D109" s="1"/>
      <c r="E109" s="1"/>
      <c r="F109" s="126"/>
      <c r="O109" s="11"/>
      <c r="Q109" s="97"/>
    </row>
    <row r="110">
      <c r="A110" s="1"/>
      <c r="B110" s="1"/>
      <c r="C110" s="1"/>
      <c r="D110" s="1"/>
      <c r="E110" s="1"/>
      <c r="F110" s="126"/>
      <c r="O110" s="11"/>
      <c r="Q110" s="97"/>
    </row>
    <row r="111">
      <c r="A111" s="1"/>
      <c r="B111" s="1"/>
      <c r="C111" s="1"/>
      <c r="D111" s="1"/>
      <c r="E111" s="1"/>
      <c r="F111" s="126"/>
      <c r="O111" s="11"/>
      <c r="Q111" s="97"/>
    </row>
    <row r="112">
      <c r="A112" s="1"/>
      <c r="B112" s="1"/>
      <c r="C112" s="1"/>
      <c r="D112" s="1"/>
      <c r="E112" s="1"/>
      <c r="F112" s="126"/>
      <c r="O112" s="11"/>
      <c r="Q112" s="97"/>
    </row>
    <row r="113">
      <c r="A113" s="1"/>
      <c r="B113" s="1"/>
      <c r="C113" s="1"/>
      <c r="D113" s="1"/>
      <c r="E113" s="1"/>
      <c r="F113" s="126"/>
      <c r="O113" s="11"/>
      <c r="Q113" s="97"/>
    </row>
    <row r="114">
      <c r="A114" s="1"/>
      <c r="B114" s="1"/>
      <c r="C114" s="1"/>
      <c r="D114" s="1"/>
      <c r="E114" s="1"/>
      <c r="F114" s="126"/>
      <c r="O114" s="11"/>
      <c r="Q114" s="97"/>
    </row>
    <row r="115">
      <c r="A115" s="1"/>
      <c r="B115" s="1"/>
      <c r="C115" s="1"/>
      <c r="D115" s="1"/>
      <c r="E115" s="1"/>
      <c r="F115" s="126"/>
      <c r="O115" s="11"/>
      <c r="Q115" s="97"/>
    </row>
    <row r="116">
      <c r="A116" s="1"/>
      <c r="B116" s="1"/>
      <c r="C116" s="1"/>
      <c r="D116" s="1"/>
      <c r="E116" s="1"/>
      <c r="F116" s="126"/>
      <c r="O116" s="11"/>
      <c r="Q116" s="97"/>
    </row>
    <row r="117">
      <c r="A117" s="1"/>
      <c r="B117" s="1"/>
      <c r="C117" s="1"/>
      <c r="D117" s="1"/>
      <c r="E117" s="1"/>
      <c r="F117" s="126"/>
      <c r="O117" s="11"/>
      <c r="Q117" s="97"/>
    </row>
    <row r="118">
      <c r="A118" s="1"/>
      <c r="B118" s="1"/>
      <c r="C118" s="1"/>
      <c r="D118" s="1"/>
      <c r="E118" s="1"/>
      <c r="F118" s="126"/>
      <c r="O118" s="11"/>
      <c r="Q118" s="97"/>
    </row>
    <row r="119">
      <c r="A119" s="1"/>
      <c r="B119" s="1"/>
      <c r="C119" s="1"/>
      <c r="D119" s="1"/>
      <c r="E119" s="1"/>
      <c r="F119" s="126"/>
      <c r="O119" s="11"/>
      <c r="Q119" s="97"/>
    </row>
    <row r="120">
      <c r="A120" s="1"/>
      <c r="B120" s="1"/>
      <c r="C120" s="1"/>
      <c r="D120" s="1"/>
      <c r="E120" s="1"/>
      <c r="F120" s="126"/>
      <c r="O120" s="11"/>
      <c r="Q120" s="97"/>
    </row>
    <row r="121">
      <c r="A121" s="1"/>
      <c r="B121" s="1"/>
      <c r="C121" s="1"/>
      <c r="D121" s="1"/>
      <c r="E121" s="1"/>
      <c r="F121" s="126"/>
      <c r="O121" s="11"/>
      <c r="Q121" s="97"/>
    </row>
    <row r="122">
      <c r="A122" s="1"/>
      <c r="B122" s="1"/>
      <c r="C122" s="1"/>
      <c r="D122" s="1"/>
      <c r="E122" s="1"/>
      <c r="F122" s="126"/>
      <c r="O122" s="11"/>
      <c r="Q122" s="97"/>
    </row>
    <row r="123">
      <c r="A123" s="1"/>
      <c r="B123" s="1"/>
      <c r="C123" s="1"/>
      <c r="D123" s="1"/>
      <c r="E123" s="1"/>
      <c r="F123" s="126"/>
      <c r="O123" s="11"/>
      <c r="Q123" s="97"/>
    </row>
    <row r="124">
      <c r="A124" s="1"/>
      <c r="B124" s="1"/>
      <c r="C124" s="1"/>
      <c r="D124" s="1"/>
      <c r="E124" s="1"/>
      <c r="F124" s="126"/>
      <c r="O124" s="11"/>
      <c r="Q124" s="97"/>
    </row>
    <row r="125">
      <c r="A125" s="1"/>
      <c r="B125" s="1"/>
      <c r="C125" s="1"/>
      <c r="D125" s="1"/>
      <c r="E125" s="1"/>
      <c r="F125" s="126"/>
      <c r="O125" s="11"/>
      <c r="Q125" s="97"/>
    </row>
    <row r="126">
      <c r="A126" s="1"/>
      <c r="B126" s="1"/>
      <c r="C126" s="1"/>
      <c r="D126" s="1"/>
      <c r="E126" s="1"/>
      <c r="F126" s="126"/>
      <c r="O126" s="11"/>
      <c r="Q126" s="97"/>
    </row>
    <row r="127">
      <c r="A127" s="1"/>
      <c r="B127" s="1"/>
      <c r="C127" s="1"/>
      <c r="D127" s="1"/>
      <c r="E127" s="1"/>
      <c r="F127" s="126"/>
      <c r="O127" s="11"/>
      <c r="Q127" s="97"/>
    </row>
    <row r="128">
      <c r="A128" s="1"/>
      <c r="B128" s="1"/>
      <c r="C128" s="1"/>
      <c r="D128" s="1"/>
      <c r="E128" s="1"/>
      <c r="F128" s="126"/>
      <c r="O128" s="11"/>
      <c r="Q128" s="97"/>
    </row>
    <row r="129">
      <c r="A129" s="1"/>
      <c r="B129" s="1"/>
      <c r="C129" s="1"/>
      <c r="D129" s="1"/>
      <c r="E129" s="1"/>
      <c r="F129" s="126"/>
      <c r="O129" s="11"/>
      <c r="Q129" s="97"/>
    </row>
    <row r="130">
      <c r="A130" s="1"/>
      <c r="B130" s="1"/>
      <c r="C130" s="1"/>
      <c r="D130" s="1"/>
      <c r="E130" s="1"/>
      <c r="F130" s="126"/>
      <c r="O130" s="11"/>
      <c r="Q130" s="97"/>
    </row>
    <row r="131">
      <c r="A131" s="1"/>
      <c r="B131" s="1"/>
      <c r="C131" s="1"/>
      <c r="D131" s="1"/>
      <c r="E131" s="1"/>
      <c r="F131" s="126"/>
      <c r="O131" s="11"/>
      <c r="Q131" s="97"/>
    </row>
    <row r="132">
      <c r="A132" s="1"/>
      <c r="B132" s="1"/>
      <c r="C132" s="1"/>
      <c r="D132" s="1"/>
      <c r="E132" s="1"/>
      <c r="F132" s="126"/>
      <c r="O132" s="11"/>
      <c r="Q132" s="97"/>
    </row>
    <row r="133">
      <c r="A133" s="1"/>
      <c r="B133" s="1"/>
      <c r="C133" s="1"/>
      <c r="D133" s="1"/>
      <c r="E133" s="1"/>
      <c r="F133" s="126"/>
      <c r="O133" s="11"/>
      <c r="Q133" s="97"/>
    </row>
    <row r="134">
      <c r="A134" s="1"/>
      <c r="B134" s="1"/>
      <c r="C134" s="1"/>
      <c r="D134" s="1"/>
      <c r="E134" s="1"/>
      <c r="F134" s="126"/>
      <c r="O134" s="11"/>
      <c r="Q134" s="97"/>
    </row>
    <row r="135">
      <c r="A135" s="1"/>
      <c r="B135" s="1"/>
      <c r="C135" s="1"/>
      <c r="D135" s="1"/>
      <c r="E135" s="1"/>
      <c r="F135" s="126"/>
      <c r="O135" s="11"/>
      <c r="Q135" s="97"/>
    </row>
    <row r="136">
      <c r="A136" s="1"/>
      <c r="B136" s="1"/>
      <c r="C136" s="1"/>
      <c r="D136" s="1"/>
      <c r="E136" s="1"/>
      <c r="F136" s="126"/>
      <c r="O136" s="11"/>
      <c r="Q136" s="97"/>
    </row>
    <row r="137">
      <c r="A137" s="1"/>
      <c r="B137" s="1"/>
      <c r="C137" s="1"/>
      <c r="D137" s="1"/>
      <c r="E137" s="1"/>
      <c r="F137" s="126"/>
      <c r="O137" s="11"/>
      <c r="Q137" s="97"/>
    </row>
    <row r="138">
      <c r="A138" s="1"/>
      <c r="B138" s="1"/>
      <c r="C138" s="1"/>
      <c r="D138" s="1"/>
      <c r="E138" s="1"/>
      <c r="F138" s="126"/>
      <c r="O138" s="11"/>
      <c r="Q138" s="97"/>
    </row>
    <row r="139">
      <c r="A139" s="1"/>
      <c r="B139" s="1"/>
      <c r="C139" s="1"/>
      <c r="D139" s="1"/>
      <c r="E139" s="1"/>
      <c r="F139" s="126"/>
      <c r="O139" s="11"/>
      <c r="Q139" s="97"/>
    </row>
    <row r="140">
      <c r="A140" s="1"/>
      <c r="B140" s="1"/>
      <c r="C140" s="1"/>
      <c r="D140" s="1"/>
      <c r="E140" s="1"/>
      <c r="F140" s="126"/>
      <c r="O140" s="11"/>
      <c r="Q140" s="97"/>
    </row>
    <row r="141">
      <c r="A141" s="1"/>
      <c r="B141" s="1"/>
      <c r="C141" s="1"/>
      <c r="D141" s="1"/>
      <c r="E141" s="1"/>
      <c r="F141" s="126"/>
      <c r="O141" s="11"/>
      <c r="Q141" s="97"/>
    </row>
    <row r="142">
      <c r="A142" s="1"/>
      <c r="B142" s="1"/>
      <c r="C142" s="1"/>
      <c r="D142" s="1"/>
      <c r="E142" s="1"/>
      <c r="F142" s="126"/>
      <c r="O142" s="11"/>
      <c r="Q142" s="97"/>
    </row>
    <row r="143">
      <c r="A143" s="1"/>
      <c r="B143" s="1"/>
      <c r="C143" s="1"/>
      <c r="D143" s="1"/>
      <c r="E143" s="1"/>
      <c r="F143" s="126"/>
      <c r="O143" s="11"/>
      <c r="Q143" s="97"/>
    </row>
    <row r="144">
      <c r="A144" s="1"/>
      <c r="B144" s="1"/>
      <c r="C144" s="1"/>
      <c r="D144" s="1"/>
      <c r="E144" s="1"/>
      <c r="F144" s="126"/>
      <c r="O144" s="11"/>
      <c r="Q144" s="97"/>
    </row>
    <row r="145">
      <c r="A145" s="1"/>
      <c r="B145" s="1"/>
      <c r="C145" s="1"/>
      <c r="D145" s="1"/>
      <c r="E145" s="1"/>
      <c r="F145" s="126"/>
      <c r="O145" s="11"/>
      <c r="Q145" s="97"/>
    </row>
    <row r="146">
      <c r="A146" s="1"/>
      <c r="B146" s="1"/>
      <c r="C146" s="1"/>
      <c r="D146" s="1"/>
      <c r="E146" s="1"/>
      <c r="F146" s="126"/>
      <c r="O146" s="11"/>
      <c r="Q146" s="97"/>
    </row>
    <row r="147">
      <c r="A147" s="1"/>
      <c r="B147" s="1"/>
      <c r="C147" s="1"/>
      <c r="D147" s="1"/>
      <c r="E147" s="1"/>
      <c r="F147" s="126"/>
      <c r="O147" s="11"/>
      <c r="Q147" s="97"/>
    </row>
    <row r="148">
      <c r="A148" s="1"/>
      <c r="B148" s="1"/>
      <c r="C148" s="1"/>
      <c r="D148" s="1"/>
      <c r="E148" s="1"/>
      <c r="F148" s="126"/>
      <c r="O148" s="11"/>
      <c r="Q148" s="97"/>
    </row>
    <row r="149">
      <c r="A149" s="1"/>
      <c r="B149" s="1"/>
      <c r="C149" s="1"/>
      <c r="D149" s="1"/>
      <c r="E149" s="1"/>
      <c r="F149" s="126"/>
      <c r="O149" s="11"/>
      <c r="Q149" s="97"/>
    </row>
    <row r="150">
      <c r="A150" s="1"/>
      <c r="B150" s="1"/>
      <c r="C150" s="1"/>
      <c r="D150" s="1"/>
      <c r="E150" s="1"/>
      <c r="F150" s="126"/>
      <c r="O150" s="11"/>
      <c r="Q150" s="97"/>
    </row>
    <row r="151">
      <c r="A151" s="1"/>
      <c r="B151" s="1"/>
      <c r="C151" s="1"/>
      <c r="D151" s="1"/>
      <c r="E151" s="1"/>
      <c r="F151" s="126"/>
      <c r="O151" s="11"/>
      <c r="Q151" s="97"/>
    </row>
    <row r="152">
      <c r="A152" s="1"/>
      <c r="B152" s="1"/>
      <c r="C152" s="1"/>
      <c r="D152" s="1"/>
      <c r="E152" s="1"/>
      <c r="F152" s="126"/>
      <c r="O152" s="11"/>
      <c r="Q152" s="97"/>
    </row>
    <row r="153">
      <c r="A153" s="1"/>
      <c r="B153" s="1"/>
      <c r="C153" s="1"/>
      <c r="D153" s="1"/>
      <c r="E153" s="1"/>
      <c r="F153" s="126"/>
      <c r="O153" s="11"/>
      <c r="Q153" s="97"/>
    </row>
    <row r="154">
      <c r="A154" s="1"/>
      <c r="B154" s="1"/>
      <c r="C154" s="1"/>
      <c r="D154" s="1"/>
      <c r="E154" s="1"/>
      <c r="F154" s="126"/>
      <c r="O154" s="11"/>
      <c r="Q154" s="97"/>
    </row>
    <row r="155">
      <c r="A155" s="1"/>
      <c r="B155" s="1"/>
      <c r="C155" s="1"/>
      <c r="D155" s="1"/>
      <c r="E155" s="1"/>
      <c r="F155" s="126"/>
      <c r="O155" s="11"/>
    </row>
    <row r="156">
      <c r="A156" s="1"/>
      <c r="B156" s="1"/>
      <c r="C156" s="1"/>
      <c r="D156" s="1"/>
      <c r="E156" s="1"/>
      <c r="F156" s="126"/>
      <c r="O156" s="11"/>
    </row>
    <row r="157">
      <c r="A157" s="1"/>
      <c r="B157" s="1"/>
      <c r="C157" s="1"/>
      <c r="D157" s="1"/>
      <c r="E157" s="1"/>
      <c r="F157" s="126"/>
      <c r="O157" s="11"/>
    </row>
    <row r="158">
      <c r="A158" s="1"/>
      <c r="B158" s="1"/>
      <c r="C158" s="1"/>
      <c r="D158" s="1"/>
      <c r="E158" s="1"/>
      <c r="F158" s="126"/>
      <c r="O158" s="11"/>
    </row>
    <row r="159">
      <c r="A159" s="1"/>
      <c r="B159" s="1"/>
      <c r="C159" s="1"/>
      <c r="D159" s="1"/>
      <c r="E159" s="1"/>
      <c r="F159" s="126"/>
      <c r="O159" s="11"/>
    </row>
    <row r="160">
      <c r="A160" s="1"/>
      <c r="B160" s="1"/>
      <c r="C160" s="1"/>
      <c r="D160" s="1"/>
      <c r="E160" s="1"/>
      <c r="F160" s="126"/>
      <c r="O160" s="11"/>
    </row>
    <row r="161">
      <c r="A161" s="1"/>
      <c r="B161" s="1"/>
      <c r="C161" s="1"/>
      <c r="D161" s="1"/>
      <c r="E161" s="1"/>
      <c r="F161" s="126"/>
      <c r="O161" s="11"/>
    </row>
    <row r="162">
      <c r="A162" s="1"/>
      <c r="B162" s="1"/>
      <c r="C162" s="1"/>
      <c r="D162" s="1"/>
      <c r="E162" s="1"/>
      <c r="F162" s="126"/>
      <c r="O162" s="11"/>
    </row>
    <row r="163">
      <c r="A163" s="1"/>
      <c r="B163" s="1"/>
      <c r="C163" s="1"/>
      <c r="D163" s="1"/>
      <c r="E163" s="1"/>
      <c r="F163" s="126"/>
      <c r="O163" s="11"/>
    </row>
    <row r="164">
      <c r="A164" s="1"/>
      <c r="B164" s="1"/>
      <c r="C164" s="1"/>
      <c r="D164" s="1"/>
      <c r="E164" s="1"/>
      <c r="F164" s="126"/>
      <c r="O164" s="11"/>
    </row>
    <row r="165">
      <c r="A165" s="1"/>
      <c r="B165" s="1"/>
      <c r="C165" s="1"/>
      <c r="D165" s="1"/>
      <c r="E165" s="1"/>
      <c r="F165" s="126"/>
      <c r="O165" s="11"/>
    </row>
    <row r="166">
      <c r="A166" s="1"/>
      <c r="B166" s="1"/>
      <c r="C166" s="1"/>
      <c r="D166" s="1"/>
      <c r="E166" s="1"/>
      <c r="F166" s="126"/>
      <c r="O166" s="11"/>
    </row>
    <row r="167">
      <c r="A167" s="1"/>
      <c r="B167" s="1"/>
      <c r="C167" s="1"/>
      <c r="D167" s="1"/>
      <c r="E167" s="1"/>
      <c r="F167" s="126"/>
      <c r="O167" s="11"/>
    </row>
    <row r="168">
      <c r="A168" s="1"/>
      <c r="B168" s="1"/>
      <c r="C168" s="1"/>
      <c r="D168" s="1"/>
      <c r="E168" s="1"/>
      <c r="F168" s="126"/>
      <c r="O168" s="11"/>
    </row>
    <row r="169">
      <c r="A169" s="1"/>
      <c r="B169" s="1"/>
      <c r="C169" s="1"/>
      <c r="D169" s="1"/>
      <c r="E169" s="1"/>
      <c r="F169" s="126"/>
      <c r="O169" s="11"/>
    </row>
    <row r="170">
      <c r="A170" s="1"/>
      <c r="B170" s="1"/>
      <c r="C170" s="1"/>
      <c r="D170" s="1"/>
      <c r="E170" s="1"/>
      <c r="F170" s="126"/>
      <c r="O170" s="11"/>
    </row>
    <row r="171">
      <c r="A171" s="1"/>
      <c r="B171" s="1"/>
      <c r="C171" s="1"/>
      <c r="D171" s="1"/>
      <c r="E171" s="1"/>
      <c r="F171" s="126"/>
      <c r="O171" s="11"/>
    </row>
    <row r="172">
      <c r="A172" s="1"/>
      <c r="B172" s="1"/>
      <c r="C172" s="1"/>
      <c r="D172" s="1"/>
      <c r="E172" s="1"/>
      <c r="F172" s="126"/>
      <c r="O172" s="11"/>
    </row>
    <row r="173">
      <c r="A173" s="1"/>
      <c r="B173" s="1"/>
      <c r="C173" s="1"/>
      <c r="D173" s="1"/>
      <c r="E173" s="1"/>
      <c r="F173" s="126"/>
      <c r="O173" s="11"/>
    </row>
    <row r="174">
      <c r="A174" s="1"/>
      <c r="B174" s="1"/>
      <c r="C174" s="1"/>
      <c r="D174" s="1"/>
      <c r="E174" s="1"/>
      <c r="F174" s="126"/>
      <c r="O174" s="11"/>
    </row>
    <row r="175">
      <c r="A175" s="1"/>
      <c r="B175" s="1"/>
      <c r="C175" s="1"/>
      <c r="D175" s="1"/>
      <c r="E175" s="1"/>
      <c r="F175" s="126"/>
      <c r="O175" s="11"/>
    </row>
    <row r="176">
      <c r="A176" s="1"/>
      <c r="B176" s="1"/>
      <c r="C176" s="1"/>
      <c r="D176" s="1"/>
      <c r="E176" s="1"/>
      <c r="F176" s="126"/>
      <c r="O176" s="11"/>
    </row>
    <row r="177">
      <c r="A177" s="1"/>
      <c r="B177" s="1"/>
      <c r="C177" s="1"/>
      <c r="D177" s="1"/>
      <c r="E177" s="1"/>
      <c r="F177" s="126"/>
      <c r="O177" s="11"/>
    </row>
    <row r="178">
      <c r="A178" s="1"/>
      <c r="B178" s="1"/>
      <c r="C178" s="1"/>
      <c r="D178" s="1"/>
      <c r="E178" s="1"/>
      <c r="F178" s="126"/>
      <c r="O178" s="11"/>
    </row>
    <row r="179">
      <c r="A179" s="1"/>
      <c r="B179" s="1"/>
      <c r="C179" s="1"/>
      <c r="D179" s="1"/>
      <c r="E179" s="1"/>
      <c r="F179" s="126"/>
      <c r="O179" s="11"/>
    </row>
    <row r="180">
      <c r="A180" s="1"/>
      <c r="B180" s="1"/>
      <c r="C180" s="1"/>
      <c r="D180" s="1"/>
      <c r="E180" s="1"/>
      <c r="F180" s="126"/>
      <c r="O180" s="11"/>
    </row>
    <row r="181">
      <c r="A181" s="1"/>
      <c r="B181" s="1"/>
      <c r="C181" s="1"/>
      <c r="D181" s="1"/>
      <c r="E181" s="1"/>
      <c r="F181" s="126"/>
      <c r="O181" s="11"/>
    </row>
    <row r="182">
      <c r="A182" s="1"/>
      <c r="B182" s="1"/>
      <c r="C182" s="1"/>
      <c r="D182" s="1"/>
      <c r="E182" s="1"/>
      <c r="F182" s="126"/>
      <c r="O182" s="11"/>
    </row>
    <row r="183">
      <c r="A183" s="1"/>
      <c r="B183" s="1"/>
      <c r="C183" s="1"/>
      <c r="D183" s="1"/>
      <c r="E183" s="1"/>
      <c r="F183" s="126"/>
      <c r="O183" s="11"/>
    </row>
    <row r="184">
      <c r="A184" s="1"/>
      <c r="B184" s="1"/>
      <c r="C184" s="1"/>
      <c r="D184" s="1"/>
      <c r="E184" s="1"/>
      <c r="F184" s="126"/>
      <c r="O184" s="11"/>
    </row>
    <row r="185">
      <c r="A185" s="1"/>
      <c r="B185" s="1"/>
      <c r="C185" s="1"/>
      <c r="D185" s="1"/>
      <c r="E185" s="1"/>
      <c r="F185" s="126"/>
      <c r="O185" s="11"/>
    </row>
    <row r="186">
      <c r="A186" s="1"/>
      <c r="B186" s="1"/>
      <c r="C186" s="1"/>
      <c r="D186" s="1"/>
      <c r="E186" s="1"/>
      <c r="F186" s="126"/>
      <c r="O186" s="11"/>
    </row>
    <row r="187">
      <c r="A187" s="1"/>
      <c r="B187" s="1"/>
      <c r="C187" s="1"/>
      <c r="D187" s="1"/>
      <c r="E187" s="1"/>
      <c r="F187" s="126"/>
      <c r="O187" s="11"/>
    </row>
    <row r="188">
      <c r="A188" s="1"/>
      <c r="B188" s="1"/>
      <c r="C188" s="1"/>
      <c r="D188" s="1"/>
      <c r="E188" s="1"/>
      <c r="F188" s="126"/>
      <c r="O188" s="11"/>
    </row>
    <row r="189">
      <c r="A189" s="1"/>
      <c r="B189" s="1"/>
      <c r="C189" s="1"/>
      <c r="D189" s="1"/>
      <c r="E189" s="1"/>
      <c r="F189" s="126"/>
      <c r="O189" s="11"/>
    </row>
    <row r="190">
      <c r="A190" s="1"/>
      <c r="B190" s="1"/>
      <c r="C190" s="1"/>
      <c r="D190" s="1"/>
      <c r="E190" s="1"/>
      <c r="F190" s="126"/>
      <c r="O190" s="11"/>
    </row>
    <row r="191">
      <c r="A191" s="1"/>
      <c r="B191" s="1"/>
      <c r="C191" s="1"/>
      <c r="D191" s="1"/>
      <c r="E191" s="1"/>
      <c r="F191" s="126"/>
      <c r="O191" s="11"/>
    </row>
    <row r="192">
      <c r="A192" s="1"/>
      <c r="B192" s="1"/>
      <c r="C192" s="1"/>
      <c r="D192" s="1"/>
      <c r="E192" s="1"/>
      <c r="F192" s="126"/>
      <c r="O192" s="11"/>
    </row>
    <row r="193">
      <c r="A193" s="1"/>
      <c r="B193" s="1"/>
      <c r="C193" s="1"/>
      <c r="D193" s="1"/>
      <c r="E193" s="1"/>
      <c r="F193" s="126"/>
      <c r="O193" s="11"/>
    </row>
    <row r="194">
      <c r="A194" s="1"/>
      <c r="B194" s="1"/>
      <c r="C194" s="1"/>
      <c r="D194" s="1"/>
      <c r="E194" s="1"/>
      <c r="F194" s="126"/>
      <c r="O194" s="11"/>
    </row>
    <row r="195">
      <c r="A195" s="1"/>
      <c r="B195" s="1"/>
      <c r="C195" s="1"/>
      <c r="D195" s="1"/>
      <c r="E195" s="1"/>
      <c r="F195" s="126"/>
      <c r="O195" s="11"/>
    </row>
    <row r="196">
      <c r="A196" s="1"/>
      <c r="B196" s="1"/>
      <c r="C196" s="1"/>
      <c r="D196" s="1"/>
      <c r="E196" s="1"/>
      <c r="F196" s="126"/>
      <c r="O196" s="11"/>
    </row>
    <row r="197">
      <c r="A197" s="1"/>
      <c r="B197" s="1"/>
      <c r="C197" s="1"/>
      <c r="D197" s="1"/>
      <c r="E197" s="1"/>
      <c r="F197" s="126"/>
      <c r="O197" s="11"/>
    </row>
    <row r="198">
      <c r="A198" s="1"/>
      <c r="B198" s="1"/>
      <c r="C198" s="1"/>
      <c r="D198" s="1"/>
      <c r="E198" s="1"/>
      <c r="F198" s="126"/>
      <c r="O198" s="11"/>
    </row>
    <row r="199">
      <c r="A199" s="1"/>
      <c r="B199" s="1"/>
      <c r="C199" s="1"/>
      <c r="D199" s="1"/>
      <c r="E199" s="1"/>
      <c r="F199" s="126"/>
      <c r="O199" s="11"/>
    </row>
    <row r="200">
      <c r="A200" s="1"/>
      <c r="B200" s="1"/>
      <c r="C200" s="1"/>
      <c r="D200" s="1"/>
      <c r="E200" s="1"/>
      <c r="F200" s="126"/>
      <c r="O200" s="11"/>
    </row>
    <row r="201">
      <c r="A201" s="1"/>
      <c r="B201" s="1"/>
      <c r="C201" s="1"/>
      <c r="D201" s="1"/>
      <c r="E201" s="1"/>
      <c r="F201" s="126"/>
      <c r="O201" s="11"/>
    </row>
    <row r="202">
      <c r="A202" s="1"/>
      <c r="B202" s="1"/>
      <c r="C202" s="1"/>
      <c r="D202" s="1"/>
      <c r="E202" s="1"/>
      <c r="F202" s="126"/>
      <c r="O202" s="11"/>
    </row>
    <row r="203">
      <c r="A203" s="1"/>
      <c r="B203" s="1"/>
      <c r="C203" s="1"/>
      <c r="D203" s="1"/>
      <c r="E203" s="1"/>
      <c r="F203" s="126"/>
      <c r="O203" s="11"/>
    </row>
    <row r="204">
      <c r="A204" s="1"/>
      <c r="B204" s="1"/>
      <c r="C204" s="1"/>
      <c r="D204" s="1"/>
      <c r="E204" s="1"/>
      <c r="F204" s="126"/>
      <c r="O204" s="11"/>
    </row>
    <row r="205">
      <c r="A205" s="1"/>
      <c r="B205" s="1"/>
      <c r="C205" s="1"/>
      <c r="D205" s="1"/>
      <c r="E205" s="1"/>
      <c r="F205" s="126"/>
      <c r="O205" s="11"/>
    </row>
    <row r="206">
      <c r="A206" s="1"/>
      <c r="B206" s="1"/>
      <c r="C206" s="1"/>
      <c r="D206" s="1"/>
      <c r="E206" s="1"/>
      <c r="F206" s="126"/>
      <c r="O206" s="11"/>
    </row>
    <row r="207">
      <c r="A207" s="1"/>
      <c r="B207" s="1"/>
      <c r="C207" s="1"/>
      <c r="D207" s="1"/>
      <c r="E207" s="1"/>
      <c r="F207" s="126"/>
      <c r="O207" s="11"/>
    </row>
    <row r="208">
      <c r="A208" s="1"/>
      <c r="B208" s="1"/>
      <c r="C208" s="1"/>
      <c r="D208" s="1"/>
      <c r="E208" s="1"/>
      <c r="F208" s="126"/>
      <c r="O208" s="11"/>
    </row>
    <row r="209">
      <c r="A209" s="1"/>
      <c r="B209" s="1"/>
      <c r="C209" s="1"/>
      <c r="D209" s="1"/>
      <c r="E209" s="1"/>
      <c r="F209" s="126"/>
      <c r="O209" s="11"/>
    </row>
    <row r="210">
      <c r="A210" s="1"/>
      <c r="B210" s="1"/>
      <c r="C210" s="1"/>
      <c r="D210" s="1"/>
      <c r="E210" s="1"/>
      <c r="F210" s="126"/>
      <c r="O210" s="11"/>
    </row>
    <row r="211">
      <c r="A211" s="1"/>
      <c r="B211" s="1"/>
      <c r="C211" s="1"/>
      <c r="D211" s="1"/>
      <c r="E211" s="1"/>
      <c r="F211" s="126"/>
      <c r="O211" s="11"/>
    </row>
    <row r="212">
      <c r="A212" s="1"/>
      <c r="B212" s="1"/>
      <c r="C212" s="1"/>
      <c r="D212" s="1"/>
      <c r="E212" s="1"/>
      <c r="F212" s="126"/>
      <c r="O212" s="11"/>
    </row>
    <row r="213">
      <c r="A213" s="1"/>
      <c r="B213" s="1"/>
      <c r="C213" s="1"/>
      <c r="D213" s="1"/>
      <c r="E213" s="1"/>
      <c r="F213" s="126"/>
      <c r="O213" s="11"/>
    </row>
    <row r="214">
      <c r="A214" s="1"/>
      <c r="B214" s="1"/>
      <c r="C214" s="1"/>
      <c r="D214" s="1"/>
      <c r="E214" s="1"/>
      <c r="F214" s="126"/>
      <c r="O214" s="11"/>
    </row>
    <row r="215">
      <c r="A215" s="1"/>
      <c r="B215" s="1"/>
      <c r="C215" s="1"/>
      <c r="D215" s="1"/>
      <c r="E215" s="1"/>
      <c r="F215" s="126"/>
      <c r="O215" s="11"/>
    </row>
    <row r="216">
      <c r="A216" s="1"/>
      <c r="B216" s="1"/>
      <c r="C216" s="1"/>
      <c r="D216" s="1"/>
      <c r="E216" s="1"/>
      <c r="F216" s="126"/>
      <c r="O216" s="11"/>
    </row>
    <row r="217">
      <c r="A217" s="1"/>
      <c r="B217" s="1"/>
      <c r="C217" s="1"/>
      <c r="D217" s="1"/>
      <c r="E217" s="1"/>
      <c r="F217" s="126"/>
      <c r="O217" s="11"/>
    </row>
    <row r="218">
      <c r="A218" s="1"/>
      <c r="B218" s="1"/>
      <c r="C218" s="1"/>
      <c r="D218" s="1"/>
      <c r="E218" s="1"/>
      <c r="F218" s="126"/>
      <c r="O218" s="11"/>
    </row>
    <row r="219">
      <c r="A219" s="1"/>
      <c r="B219" s="1"/>
      <c r="C219" s="1"/>
      <c r="D219" s="1"/>
      <c r="E219" s="1"/>
      <c r="F219" s="126"/>
      <c r="O219" s="11"/>
    </row>
    <row r="220">
      <c r="A220" s="1"/>
      <c r="B220" s="1"/>
      <c r="C220" s="1"/>
      <c r="D220" s="1"/>
      <c r="E220" s="1"/>
      <c r="F220" s="126"/>
      <c r="O220" s="11"/>
    </row>
    <row r="221">
      <c r="A221" s="1"/>
      <c r="B221" s="1"/>
      <c r="C221" s="1"/>
      <c r="D221" s="1"/>
      <c r="E221" s="1"/>
      <c r="F221" s="126"/>
      <c r="O221" s="11"/>
    </row>
    <row r="222">
      <c r="A222" s="1"/>
      <c r="B222" s="1"/>
      <c r="C222" s="1"/>
      <c r="D222" s="1"/>
      <c r="E222" s="1"/>
      <c r="F222" s="126"/>
      <c r="O222" s="11"/>
    </row>
    <row r="223">
      <c r="A223" s="1"/>
      <c r="B223" s="1"/>
      <c r="C223" s="1"/>
      <c r="D223" s="1"/>
      <c r="E223" s="1"/>
      <c r="F223" s="126"/>
      <c r="O223" s="11"/>
    </row>
    <row r="224">
      <c r="A224" s="1"/>
      <c r="B224" s="1"/>
      <c r="C224" s="1"/>
      <c r="D224" s="1"/>
      <c r="E224" s="1"/>
      <c r="F224" s="126"/>
      <c r="O224" s="11"/>
    </row>
    <row r="225">
      <c r="A225" s="1"/>
      <c r="B225" s="1"/>
      <c r="C225" s="1"/>
      <c r="D225" s="1"/>
      <c r="E225" s="1"/>
      <c r="F225" s="126"/>
      <c r="O225" s="11"/>
    </row>
    <row r="226">
      <c r="A226" s="1"/>
      <c r="B226" s="1"/>
      <c r="C226" s="1"/>
      <c r="D226" s="1"/>
      <c r="E226" s="1"/>
      <c r="F226" s="126"/>
      <c r="O226" s="11"/>
    </row>
    <row r="227">
      <c r="A227" s="1"/>
      <c r="B227" s="1"/>
      <c r="C227" s="1"/>
      <c r="D227" s="1"/>
      <c r="E227" s="1"/>
      <c r="F227" s="126"/>
      <c r="O227" s="11"/>
    </row>
    <row r="228">
      <c r="A228" s="1"/>
      <c r="B228" s="1"/>
      <c r="C228" s="1"/>
      <c r="D228" s="1"/>
      <c r="E228" s="1"/>
      <c r="F228" s="126"/>
      <c r="O228" s="11"/>
    </row>
    <row r="229">
      <c r="A229" s="1"/>
      <c r="B229" s="1"/>
      <c r="C229" s="1"/>
      <c r="D229" s="1"/>
      <c r="E229" s="1"/>
      <c r="F229" s="126"/>
      <c r="O229" s="11"/>
    </row>
    <row r="230">
      <c r="A230" s="1"/>
      <c r="B230" s="1"/>
      <c r="C230" s="1"/>
      <c r="D230" s="1"/>
      <c r="E230" s="1"/>
      <c r="F230" s="126"/>
      <c r="O230" s="11"/>
    </row>
    <row r="231">
      <c r="A231" s="1"/>
      <c r="B231" s="1"/>
      <c r="C231" s="1"/>
      <c r="D231" s="1"/>
      <c r="E231" s="1"/>
      <c r="F231" s="126"/>
      <c r="O231" s="11"/>
    </row>
    <row r="232">
      <c r="A232" s="1"/>
      <c r="B232" s="1"/>
      <c r="C232" s="1"/>
      <c r="D232" s="1"/>
      <c r="E232" s="1"/>
      <c r="F232" s="126"/>
      <c r="O232" s="11"/>
    </row>
    <row r="233">
      <c r="A233" s="1"/>
      <c r="B233" s="1"/>
      <c r="C233" s="1"/>
      <c r="D233" s="1"/>
      <c r="E233" s="1"/>
      <c r="F233" s="126"/>
      <c r="O233" s="11"/>
    </row>
    <row r="234">
      <c r="A234" s="1"/>
      <c r="B234" s="1"/>
      <c r="C234" s="1"/>
      <c r="D234" s="1"/>
      <c r="E234" s="1"/>
      <c r="F234" s="126"/>
      <c r="O234" s="11"/>
    </row>
    <row r="235">
      <c r="A235" s="1"/>
      <c r="B235" s="1"/>
      <c r="C235" s="1"/>
      <c r="D235" s="1"/>
      <c r="E235" s="1"/>
      <c r="F235" s="126"/>
      <c r="O235" s="11"/>
    </row>
    <row r="236">
      <c r="A236" s="1"/>
      <c r="B236" s="1"/>
      <c r="C236" s="1"/>
      <c r="D236" s="1"/>
      <c r="E236" s="1"/>
      <c r="F236" s="126"/>
      <c r="O236" s="11"/>
    </row>
    <row r="237">
      <c r="A237" s="1"/>
      <c r="B237" s="1"/>
      <c r="C237" s="1"/>
      <c r="D237" s="1"/>
      <c r="E237" s="1"/>
      <c r="F237" s="126"/>
      <c r="O237" s="11"/>
    </row>
    <row r="238">
      <c r="A238" s="1"/>
      <c r="B238" s="1"/>
      <c r="C238" s="1"/>
      <c r="D238" s="1"/>
      <c r="E238" s="1"/>
      <c r="F238" s="126"/>
      <c r="O238" s="11"/>
    </row>
    <row r="239">
      <c r="A239" s="1"/>
      <c r="B239" s="1"/>
      <c r="C239" s="1"/>
      <c r="D239" s="1"/>
      <c r="E239" s="1"/>
      <c r="F239" s="126"/>
      <c r="O239" s="11"/>
    </row>
    <row r="240">
      <c r="A240" s="1"/>
      <c r="B240" s="1"/>
      <c r="C240" s="1"/>
      <c r="D240" s="1"/>
      <c r="E240" s="1"/>
      <c r="F240" s="126"/>
      <c r="O240" s="11"/>
    </row>
    <row r="241">
      <c r="A241" s="1"/>
      <c r="B241" s="1"/>
      <c r="C241" s="1"/>
      <c r="D241" s="1"/>
      <c r="E241" s="1"/>
      <c r="F241" s="126"/>
      <c r="O241" s="11"/>
    </row>
    <row r="242">
      <c r="A242" s="1"/>
      <c r="B242" s="1"/>
      <c r="C242" s="1"/>
      <c r="D242" s="1"/>
      <c r="E242" s="1"/>
      <c r="F242" s="126"/>
      <c r="O242" s="11"/>
    </row>
    <row r="243">
      <c r="A243" s="1"/>
      <c r="B243" s="1"/>
      <c r="C243" s="1"/>
      <c r="D243" s="1"/>
      <c r="E243" s="1"/>
      <c r="F243" s="126"/>
      <c r="O243" s="11"/>
    </row>
    <row r="244">
      <c r="A244" s="1"/>
      <c r="B244" s="1"/>
      <c r="C244" s="1"/>
      <c r="D244" s="1"/>
      <c r="E244" s="1"/>
      <c r="F244" s="126"/>
      <c r="O244" s="11"/>
    </row>
    <row r="245">
      <c r="A245" s="1"/>
      <c r="B245" s="1"/>
      <c r="C245" s="1"/>
      <c r="D245" s="1"/>
      <c r="E245" s="1"/>
      <c r="F245" s="126"/>
      <c r="O245" s="11"/>
    </row>
    <row r="246">
      <c r="A246" s="1"/>
      <c r="B246" s="1"/>
      <c r="C246" s="1"/>
      <c r="D246" s="1"/>
      <c r="E246" s="1"/>
      <c r="F246" s="126"/>
      <c r="O246" s="11"/>
    </row>
    <row r="247">
      <c r="A247" s="1"/>
      <c r="B247" s="1"/>
      <c r="C247" s="1"/>
      <c r="D247" s="1"/>
      <c r="E247" s="1"/>
      <c r="F247" s="126"/>
      <c r="O247" s="11"/>
    </row>
    <row r="248">
      <c r="A248" s="1"/>
      <c r="B248" s="1"/>
      <c r="C248" s="1"/>
      <c r="D248" s="1"/>
      <c r="E248" s="1"/>
      <c r="F248" s="126"/>
      <c r="O248" s="11"/>
    </row>
    <row r="249">
      <c r="A249" s="1"/>
      <c r="B249" s="1"/>
      <c r="C249" s="1"/>
      <c r="D249" s="1"/>
      <c r="E249" s="1"/>
      <c r="F249" s="126"/>
      <c r="O249" s="11"/>
    </row>
    <row r="250">
      <c r="A250" s="1"/>
      <c r="B250" s="1"/>
      <c r="C250" s="1"/>
      <c r="D250" s="1"/>
      <c r="E250" s="1"/>
      <c r="F250" s="126"/>
      <c r="O250" s="11"/>
    </row>
    <row r="251">
      <c r="A251" s="1"/>
      <c r="B251" s="1"/>
      <c r="C251" s="1"/>
      <c r="D251" s="1"/>
      <c r="E251" s="1"/>
      <c r="F251" s="126"/>
      <c r="O251" s="11"/>
    </row>
    <row r="252">
      <c r="A252" s="1"/>
      <c r="B252" s="1"/>
      <c r="C252" s="1"/>
      <c r="D252" s="1"/>
      <c r="E252" s="1"/>
      <c r="F252" s="126"/>
      <c r="O252" s="11"/>
    </row>
    <row r="253">
      <c r="A253" s="1"/>
      <c r="B253" s="1"/>
      <c r="C253" s="1"/>
      <c r="D253" s="1"/>
      <c r="E253" s="1"/>
      <c r="F253" s="126"/>
      <c r="O253" s="11"/>
    </row>
    <row r="254">
      <c r="A254" s="1"/>
      <c r="B254" s="1"/>
      <c r="C254" s="1"/>
      <c r="D254" s="1"/>
      <c r="E254" s="1"/>
      <c r="F254" s="126"/>
      <c r="O254" s="11"/>
    </row>
    <row r="255">
      <c r="A255" s="1"/>
      <c r="B255" s="1"/>
      <c r="C255" s="1"/>
      <c r="D255" s="1"/>
      <c r="E255" s="1"/>
      <c r="F255" s="126"/>
      <c r="O255" s="11"/>
    </row>
    <row r="256">
      <c r="A256" s="1"/>
      <c r="B256" s="1"/>
      <c r="C256" s="1"/>
      <c r="D256" s="1"/>
      <c r="E256" s="1"/>
      <c r="F256" s="126"/>
      <c r="O256" s="11"/>
    </row>
    <row r="257">
      <c r="A257" s="1"/>
      <c r="B257" s="1"/>
      <c r="C257" s="1"/>
      <c r="D257" s="1"/>
      <c r="E257" s="1"/>
      <c r="F257" s="126"/>
      <c r="O257" s="11"/>
    </row>
    <row r="258">
      <c r="A258" s="1"/>
      <c r="B258" s="1"/>
      <c r="C258" s="1"/>
      <c r="D258" s="1"/>
      <c r="E258" s="1"/>
      <c r="F258" s="126"/>
      <c r="O258" s="11"/>
    </row>
    <row r="259">
      <c r="A259" s="1"/>
      <c r="B259" s="1"/>
      <c r="C259" s="1"/>
      <c r="D259" s="1"/>
      <c r="E259" s="1"/>
      <c r="F259" s="126"/>
      <c r="O259" s="11"/>
    </row>
    <row r="260">
      <c r="A260" s="1"/>
      <c r="B260" s="1"/>
      <c r="C260" s="1"/>
      <c r="D260" s="1"/>
      <c r="E260" s="1"/>
      <c r="F260" s="126"/>
      <c r="O260" s="11"/>
    </row>
    <row r="261">
      <c r="A261" s="1"/>
      <c r="B261" s="1"/>
      <c r="C261" s="1"/>
      <c r="D261" s="1"/>
      <c r="E261" s="1"/>
      <c r="F261" s="126"/>
      <c r="O261" s="11"/>
    </row>
    <row r="262">
      <c r="A262" s="1"/>
      <c r="B262" s="1"/>
      <c r="C262" s="1"/>
      <c r="D262" s="1"/>
      <c r="E262" s="1"/>
      <c r="F262" s="126"/>
      <c r="O262" s="11"/>
    </row>
    <row r="263">
      <c r="A263" s="1"/>
      <c r="B263" s="1"/>
      <c r="C263" s="1"/>
      <c r="D263" s="1"/>
      <c r="E263" s="1"/>
      <c r="F263" s="126"/>
      <c r="O263" s="11"/>
    </row>
    <row r="264">
      <c r="A264" s="1"/>
      <c r="B264" s="1"/>
      <c r="C264" s="1"/>
      <c r="D264" s="1"/>
      <c r="E264" s="1"/>
      <c r="F264" s="126"/>
      <c r="O264" s="11"/>
    </row>
    <row r="265">
      <c r="A265" s="1"/>
      <c r="B265" s="1"/>
      <c r="C265" s="1"/>
      <c r="D265" s="1"/>
      <c r="E265" s="1"/>
      <c r="F265" s="126"/>
      <c r="O265" s="11"/>
    </row>
    <row r="266">
      <c r="A266" s="1"/>
      <c r="B266" s="1"/>
      <c r="C266" s="1"/>
      <c r="D266" s="1"/>
      <c r="E266" s="1"/>
      <c r="F266" s="126"/>
      <c r="O266" s="11"/>
    </row>
    <row r="267">
      <c r="A267" s="1"/>
      <c r="B267" s="1"/>
      <c r="C267" s="1"/>
      <c r="D267" s="1"/>
      <c r="E267" s="1"/>
      <c r="F267" s="126"/>
      <c r="O267" s="11"/>
    </row>
    <row r="268">
      <c r="A268" s="1"/>
      <c r="B268" s="1"/>
      <c r="C268" s="1"/>
      <c r="D268" s="1"/>
      <c r="E268" s="1"/>
      <c r="F268" s="126"/>
      <c r="O268" s="11"/>
    </row>
    <row r="269">
      <c r="A269" s="1"/>
      <c r="B269" s="1"/>
      <c r="C269" s="1"/>
      <c r="D269" s="1"/>
      <c r="E269" s="1"/>
      <c r="F269" s="126"/>
      <c r="O269" s="11"/>
    </row>
    <row r="270">
      <c r="A270" s="1"/>
      <c r="B270" s="1"/>
      <c r="C270" s="1"/>
      <c r="D270" s="1"/>
      <c r="E270" s="1"/>
      <c r="F270" s="126"/>
      <c r="O270" s="11"/>
    </row>
    <row r="271">
      <c r="A271" s="1"/>
      <c r="B271" s="1"/>
      <c r="C271" s="1"/>
      <c r="D271" s="1"/>
      <c r="E271" s="1"/>
      <c r="F271" s="126"/>
      <c r="O271" s="11"/>
    </row>
    <row r="272">
      <c r="A272" s="1"/>
      <c r="B272" s="1"/>
      <c r="C272" s="1"/>
      <c r="D272" s="1"/>
      <c r="E272" s="1"/>
      <c r="F272" s="126"/>
      <c r="O272" s="11"/>
    </row>
    <row r="273">
      <c r="A273" s="1"/>
      <c r="B273" s="1"/>
      <c r="C273" s="1"/>
      <c r="D273" s="1"/>
      <c r="E273" s="1"/>
      <c r="F273" s="126"/>
      <c r="O273" s="11"/>
    </row>
    <row r="274">
      <c r="A274" s="1"/>
      <c r="B274" s="1"/>
      <c r="C274" s="1"/>
      <c r="D274" s="1"/>
      <c r="E274" s="1"/>
      <c r="F274" s="126"/>
      <c r="O274" s="11"/>
    </row>
    <row r="275">
      <c r="A275" s="1"/>
      <c r="B275" s="1"/>
      <c r="C275" s="1"/>
      <c r="D275" s="1"/>
      <c r="E275" s="1"/>
      <c r="F275" s="126"/>
      <c r="O275" s="11"/>
    </row>
    <row r="276">
      <c r="A276" s="1"/>
      <c r="B276" s="1"/>
      <c r="C276" s="1"/>
      <c r="D276" s="1"/>
      <c r="E276" s="1"/>
      <c r="F276" s="126"/>
      <c r="O276" s="11"/>
    </row>
    <row r="277">
      <c r="A277" s="1"/>
      <c r="B277" s="1"/>
      <c r="C277" s="1"/>
      <c r="D277" s="1"/>
      <c r="E277" s="1"/>
      <c r="F277" s="126"/>
      <c r="O277" s="11"/>
    </row>
    <row r="278">
      <c r="A278" s="1"/>
      <c r="B278" s="1"/>
      <c r="C278" s="1"/>
      <c r="D278" s="1"/>
      <c r="E278" s="1"/>
      <c r="F278" s="126"/>
      <c r="O278" s="11"/>
    </row>
    <row r="279">
      <c r="A279" s="1"/>
      <c r="B279" s="1"/>
      <c r="C279" s="1"/>
      <c r="D279" s="1"/>
      <c r="E279" s="1"/>
      <c r="F279" s="126"/>
      <c r="O279" s="11"/>
    </row>
    <row r="280">
      <c r="A280" s="1"/>
      <c r="B280" s="1"/>
      <c r="C280" s="1"/>
      <c r="D280" s="1"/>
      <c r="E280" s="1"/>
      <c r="F280" s="126"/>
      <c r="O280" s="11"/>
    </row>
    <row r="281">
      <c r="A281" s="1"/>
      <c r="B281" s="1"/>
      <c r="C281" s="1"/>
      <c r="D281" s="1"/>
      <c r="E281" s="1"/>
      <c r="F281" s="126"/>
      <c r="O281" s="11"/>
    </row>
    <row r="282">
      <c r="A282" s="1"/>
      <c r="B282" s="1"/>
      <c r="C282" s="1"/>
      <c r="D282" s="1"/>
      <c r="E282" s="1"/>
      <c r="F282" s="126"/>
      <c r="O282" s="11"/>
    </row>
    <row r="283">
      <c r="A283" s="1"/>
      <c r="B283" s="1"/>
      <c r="C283" s="1"/>
      <c r="D283" s="1"/>
      <c r="E283" s="1"/>
      <c r="F283" s="126"/>
      <c r="O283" s="11"/>
    </row>
    <row r="284">
      <c r="A284" s="1"/>
      <c r="B284" s="1"/>
      <c r="C284" s="1"/>
      <c r="D284" s="1"/>
      <c r="E284" s="1"/>
      <c r="F284" s="126"/>
      <c r="O284" s="11"/>
    </row>
    <row r="285">
      <c r="A285" s="1"/>
      <c r="B285" s="1"/>
      <c r="C285" s="1"/>
      <c r="D285" s="1"/>
      <c r="E285" s="1"/>
      <c r="F285" s="126"/>
      <c r="O285" s="11"/>
    </row>
    <row r="286">
      <c r="A286" s="1"/>
      <c r="B286" s="1"/>
      <c r="C286" s="1"/>
      <c r="D286" s="1"/>
      <c r="E286" s="1"/>
      <c r="F286" s="126"/>
      <c r="O286" s="11"/>
    </row>
    <row r="287">
      <c r="A287" s="1"/>
      <c r="B287" s="1"/>
      <c r="C287" s="1"/>
      <c r="D287" s="1"/>
      <c r="E287" s="1"/>
      <c r="F287" s="126"/>
      <c r="O287" s="11"/>
    </row>
    <row r="288">
      <c r="A288" s="1"/>
      <c r="B288" s="1"/>
      <c r="C288" s="1"/>
      <c r="D288" s="1"/>
      <c r="E288" s="1"/>
      <c r="F288" s="126"/>
      <c r="O288" s="11"/>
    </row>
    <row r="289">
      <c r="A289" s="1"/>
      <c r="B289" s="1"/>
      <c r="C289" s="1"/>
      <c r="D289" s="1"/>
      <c r="E289" s="1"/>
      <c r="F289" s="126"/>
      <c r="O289" s="11"/>
    </row>
    <row r="290">
      <c r="A290" s="1"/>
      <c r="B290" s="1"/>
      <c r="C290" s="1"/>
      <c r="D290" s="1"/>
      <c r="E290" s="1"/>
      <c r="F290" s="126"/>
      <c r="O290" s="11"/>
    </row>
    <row r="291">
      <c r="A291" s="1"/>
      <c r="B291" s="1"/>
      <c r="C291" s="1"/>
      <c r="D291" s="1"/>
      <c r="E291" s="1"/>
      <c r="F291" s="126"/>
      <c r="O291" s="11"/>
    </row>
    <row r="292">
      <c r="A292" s="1"/>
      <c r="B292" s="1"/>
      <c r="C292" s="1"/>
      <c r="D292" s="1"/>
      <c r="E292" s="1"/>
      <c r="F292" s="126"/>
      <c r="O292" s="11"/>
    </row>
    <row r="293">
      <c r="A293" s="1"/>
      <c r="B293" s="1"/>
      <c r="C293" s="1"/>
      <c r="D293" s="1"/>
      <c r="E293" s="1"/>
      <c r="F293" s="126"/>
      <c r="O293" s="11"/>
    </row>
    <row r="294">
      <c r="A294" s="1"/>
      <c r="B294" s="1"/>
      <c r="C294" s="1"/>
      <c r="D294" s="1"/>
      <c r="E294" s="1"/>
      <c r="F294" s="126"/>
      <c r="O294" s="11"/>
    </row>
    <row r="295">
      <c r="A295" s="1"/>
      <c r="B295" s="1"/>
      <c r="C295" s="1"/>
      <c r="D295" s="1"/>
      <c r="E295" s="1"/>
      <c r="F295" s="126"/>
      <c r="O295" s="11"/>
    </row>
    <row r="296">
      <c r="A296" s="1"/>
      <c r="B296" s="1"/>
      <c r="C296" s="1"/>
      <c r="D296" s="1"/>
      <c r="E296" s="1"/>
      <c r="F296" s="126"/>
      <c r="O296" s="11"/>
    </row>
    <row r="297">
      <c r="A297" s="1"/>
      <c r="B297" s="1"/>
      <c r="C297" s="1"/>
      <c r="D297" s="1"/>
      <c r="E297" s="1"/>
      <c r="F297" s="126"/>
      <c r="O297" s="11"/>
    </row>
    <row r="298">
      <c r="A298" s="1"/>
      <c r="B298" s="1"/>
      <c r="C298" s="1"/>
      <c r="D298" s="1"/>
      <c r="E298" s="1"/>
      <c r="F298" s="126"/>
      <c r="O298" s="11"/>
    </row>
    <row r="299">
      <c r="A299" s="1"/>
      <c r="B299" s="1"/>
      <c r="C299" s="1"/>
      <c r="D299" s="1"/>
      <c r="E299" s="1"/>
      <c r="F299" s="126"/>
      <c r="O299" s="11"/>
    </row>
    <row r="300">
      <c r="A300" s="1"/>
      <c r="B300" s="1"/>
      <c r="C300" s="1"/>
      <c r="D300" s="1"/>
      <c r="E300" s="1"/>
      <c r="F300" s="126"/>
      <c r="O300" s="11"/>
    </row>
    <row r="301">
      <c r="A301" s="1"/>
      <c r="B301" s="1"/>
      <c r="C301" s="1"/>
      <c r="D301" s="1"/>
      <c r="E301" s="1"/>
      <c r="F301" s="126"/>
      <c r="O301" s="11"/>
    </row>
    <row r="302">
      <c r="A302" s="1"/>
      <c r="B302" s="1"/>
      <c r="C302" s="1"/>
      <c r="D302" s="1"/>
      <c r="E302" s="1"/>
      <c r="F302" s="126"/>
      <c r="O302" s="11"/>
    </row>
    <row r="303">
      <c r="A303" s="1"/>
      <c r="B303" s="1"/>
      <c r="C303" s="1"/>
      <c r="D303" s="1"/>
      <c r="E303" s="1"/>
      <c r="F303" s="126"/>
      <c r="O303" s="11"/>
    </row>
    <row r="304">
      <c r="A304" s="1"/>
      <c r="B304" s="1"/>
      <c r="C304" s="1"/>
      <c r="D304" s="1"/>
      <c r="E304" s="1"/>
      <c r="F304" s="126"/>
      <c r="O304" s="11"/>
    </row>
    <row r="305">
      <c r="A305" s="1"/>
      <c r="B305" s="1"/>
      <c r="C305" s="1"/>
      <c r="D305" s="1"/>
      <c r="E305" s="1"/>
      <c r="F305" s="126"/>
      <c r="O305" s="11"/>
    </row>
    <row r="306">
      <c r="A306" s="1"/>
      <c r="B306" s="1"/>
      <c r="C306" s="1"/>
      <c r="D306" s="1"/>
      <c r="E306" s="1"/>
      <c r="F306" s="126"/>
      <c r="O306" s="11"/>
    </row>
    <row r="307">
      <c r="A307" s="1"/>
      <c r="B307" s="1"/>
      <c r="C307" s="1"/>
      <c r="D307" s="1"/>
      <c r="E307" s="1"/>
      <c r="F307" s="126"/>
      <c r="O307" s="11"/>
    </row>
    <row r="308">
      <c r="A308" s="1"/>
      <c r="B308" s="1"/>
      <c r="C308" s="1"/>
      <c r="D308" s="1"/>
      <c r="E308" s="1"/>
      <c r="F308" s="126"/>
      <c r="O308" s="11"/>
    </row>
    <row r="309">
      <c r="A309" s="1"/>
      <c r="B309" s="1"/>
      <c r="C309" s="1"/>
      <c r="D309" s="1"/>
      <c r="E309" s="1"/>
      <c r="F309" s="126"/>
      <c r="O309" s="11"/>
    </row>
    <row r="310">
      <c r="A310" s="1"/>
      <c r="B310" s="1"/>
      <c r="C310" s="1"/>
      <c r="D310" s="1"/>
      <c r="E310" s="1"/>
      <c r="F310" s="126"/>
      <c r="O310" s="11"/>
    </row>
    <row r="311">
      <c r="A311" s="1"/>
      <c r="B311" s="1"/>
      <c r="C311" s="1"/>
      <c r="D311" s="1"/>
      <c r="E311" s="1"/>
      <c r="F311" s="126"/>
      <c r="O311" s="11"/>
    </row>
    <row r="312">
      <c r="A312" s="1"/>
      <c r="B312" s="1"/>
      <c r="C312" s="1"/>
      <c r="D312" s="1"/>
      <c r="E312" s="1"/>
      <c r="F312" s="126"/>
      <c r="O312" s="11"/>
    </row>
    <row r="313">
      <c r="A313" s="1"/>
      <c r="B313" s="1"/>
      <c r="C313" s="1"/>
      <c r="D313" s="1"/>
      <c r="E313" s="1"/>
      <c r="F313" s="126"/>
      <c r="O313" s="11"/>
    </row>
    <row r="314">
      <c r="A314" s="1"/>
      <c r="B314" s="1"/>
      <c r="C314" s="1"/>
      <c r="D314" s="1"/>
      <c r="E314" s="1"/>
      <c r="F314" s="126"/>
      <c r="O314" s="11"/>
    </row>
    <row r="315">
      <c r="A315" s="1"/>
      <c r="B315" s="1"/>
      <c r="C315" s="1"/>
      <c r="D315" s="1"/>
      <c r="E315" s="1"/>
      <c r="F315" s="126"/>
      <c r="O315" s="11"/>
    </row>
    <row r="316">
      <c r="A316" s="1"/>
      <c r="B316" s="1"/>
      <c r="C316" s="1"/>
      <c r="D316" s="1"/>
      <c r="E316" s="1"/>
      <c r="F316" s="126"/>
      <c r="O316" s="11"/>
    </row>
    <row r="317">
      <c r="A317" s="1"/>
      <c r="B317" s="1"/>
      <c r="C317" s="1"/>
      <c r="D317" s="1"/>
      <c r="E317" s="1"/>
      <c r="F317" s="126"/>
      <c r="O317" s="11"/>
    </row>
    <row r="318">
      <c r="A318" s="1"/>
      <c r="B318" s="1"/>
      <c r="C318" s="1"/>
      <c r="D318" s="1"/>
      <c r="E318" s="1"/>
      <c r="F318" s="126"/>
      <c r="O318" s="11"/>
    </row>
    <row r="319">
      <c r="A319" s="1"/>
      <c r="B319" s="1"/>
      <c r="C319" s="1"/>
      <c r="D319" s="1"/>
      <c r="E319" s="1"/>
      <c r="F319" s="126"/>
      <c r="O319" s="11"/>
    </row>
    <row r="320">
      <c r="A320" s="1"/>
      <c r="B320" s="1"/>
      <c r="C320" s="1"/>
      <c r="D320" s="1"/>
      <c r="E320" s="1"/>
      <c r="F320" s="126"/>
      <c r="O320" s="11"/>
    </row>
    <row r="321">
      <c r="A321" s="1"/>
      <c r="B321" s="1"/>
      <c r="C321" s="1"/>
      <c r="D321" s="1"/>
      <c r="E321" s="1"/>
      <c r="F321" s="126"/>
      <c r="O321" s="11"/>
    </row>
    <row r="322">
      <c r="A322" s="1"/>
      <c r="B322" s="1"/>
      <c r="C322" s="1"/>
      <c r="D322" s="1"/>
      <c r="E322" s="1"/>
      <c r="F322" s="126"/>
      <c r="O322" s="11"/>
    </row>
    <row r="323">
      <c r="A323" s="1"/>
      <c r="B323" s="1"/>
      <c r="C323" s="1"/>
      <c r="D323" s="1"/>
      <c r="E323" s="1"/>
      <c r="F323" s="126"/>
      <c r="O323" s="11"/>
    </row>
    <row r="324">
      <c r="A324" s="1"/>
      <c r="B324" s="1"/>
      <c r="C324" s="1"/>
      <c r="D324" s="1"/>
      <c r="E324" s="1"/>
      <c r="F324" s="126"/>
      <c r="O324" s="11"/>
    </row>
    <row r="325">
      <c r="A325" s="1"/>
      <c r="B325" s="1"/>
      <c r="C325" s="1"/>
      <c r="D325" s="1"/>
      <c r="E325" s="1"/>
      <c r="F325" s="126"/>
      <c r="O325" s="11"/>
    </row>
    <row r="326">
      <c r="A326" s="1"/>
      <c r="B326" s="1"/>
      <c r="C326" s="1"/>
      <c r="D326" s="1"/>
      <c r="E326" s="1"/>
      <c r="F326" s="126"/>
      <c r="O326" s="11"/>
    </row>
    <row r="327">
      <c r="A327" s="1"/>
      <c r="B327" s="1"/>
      <c r="C327" s="1"/>
      <c r="D327" s="1"/>
      <c r="E327" s="1"/>
      <c r="F327" s="126"/>
      <c r="O327" s="11"/>
    </row>
    <row r="328">
      <c r="A328" s="1"/>
      <c r="B328" s="1"/>
      <c r="C328" s="1"/>
      <c r="D328" s="1"/>
      <c r="E328" s="1"/>
      <c r="F328" s="126"/>
      <c r="O328" s="11"/>
    </row>
    <row r="329">
      <c r="A329" s="1"/>
      <c r="B329" s="1"/>
      <c r="C329" s="1"/>
      <c r="D329" s="1"/>
      <c r="E329" s="1"/>
      <c r="F329" s="126"/>
      <c r="O329" s="11"/>
    </row>
    <row r="330">
      <c r="A330" s="1"/>
      <c r="B330" s="1"/>
      <c r="C330" s="1"/>
      <c r="D330" s="1"/>
      <c r="E330" s="1"/>
      <c r="F330" s="126"/>
      <c r="O330" s="11"/>
    </row>
    <row r="331">
      <c r="A331" s="1"/>
      <c r="B331" s="1"/>
      <c r="C331" s="1"/>
      <c r="D331" s="1"/>
      <c r="E331" s="1"/>
      <c r="F331" s="126"/>
      <c r="O331" s="11"/>
    </row>
    <row r="332">
      <c r="A332" s="1"/>
      <c r="B332" s="1"/>
      <c r="C332" s="1"/>
      <c r="D332" s="1"/>
      <c r="E332" s="1"/>
      <c r="F332" s="126"/>
      <c r="O332" s="11"/>
    </row>
    <row r="333">
      <c r="A333" s="1"/>
      <c r="B333" s="1"/>
      <c r="C333" s="1"/>
      <c r="D333" s="1"/>
      <c r="E333" s="1"/>
      <c r="F333" s="126"/>
      <c r="O333" s="11"/>
    </row>
    <row r="334">
      <c r="A334" s="1"/>
      <c r="B334" s="1"/>
      <c r="C334" s="1"/>
      <c r="D334" s="1"/>
      <c r="E334" s="1"/>
      <c r="F334" s="126"/>
      <c r="O334" s="11"/>
    </row>
    <row r="335">
      <c r="A335" s="1"/>
      <c r="B335" s="1"/>
      <c r="C335" s="1"/>
      <c r="D335" s="1"/>
      <c r="E335" s="1"/>
      <c r="F335" s="126"/>
      <c r="O335" s="11"/>
    </row>
    <row r="336">
      <c r="A336" s="1"/>
      <c r="B336" s="1"/>
      <c r="C336" s="1"/>
      <c r="D336" s="1"/>
      <c r="E336" s="1"/>
      <c r="F336" s="126"/>
      <c r="O336" s="11"/>
    </row>
    <row r="337">
      <c r="A337" s="1"/>
      <c r="B337" s="1"/>
      <c r="C337" s="1"/>
      <c r="D337" s="1"/>
      <c r="E337" s="1"/>
      <c r="F337" s="126"/>
      <c r="O337" s="11"/>
    </row>
    <row r="338">
      <c r="A338" s="1"/>
      <c r="B338" s="1"/>
      <c r="C338" s="1"/>
      <c r="D338" s="1"/>
      <c r="E338" s="1"/>
      <c r="F338" s="126"/>
      <c r="O338" s="11"/>
    </row>
    <row r="339">
      <c r="A339" s="1"/>
      <c r="B339" s="1"/>
      <c r="C339" s="1"/>
      <c r="D339" s="1"/>
      <c r="E339" s="1"/>
      <c r="F339" s="126"/>
      <c r="O339" s="11"/>
    </row>
    <row r="340">
      <c r="A340" s="1"/>
      <c r="B340" s="1"/>
      <c r="C340" s="1"/>
      <c r="D340" s="1"/>
      <c r="E340" s="1"/>
      <c r="F340" s="126"/>
      <c r="O340" s="11"/>
    </row>
    <row r="341">
      <c r="A341" s="1"/>
      <c r="B341" s="1"/>
      <c r="C341" s="1"/>
      <c r="D341" s="1"/>
      <c r="E341" s="1"/>
      <c r="F341" s="126"/>
      <c r="O341" s="11"/>
    </row>
    <row r="342">
      <c r="A342" s="1"/>
      <c r="B342" s="1"/>
      <c r="C342" s="1"/>
      <c r="D342" s="1"/>
      <c r="E342" s="1"/>
      <c r="F342" s="126"/>
      <c r="O342" s="11"/>
    </row>
    <row r="343">
      <c r="A343" s="1"/>
      <c r="B343" s="1"/>
      <c r="C343" s="1"/>
      <c r="D343" s="1"/>
      <c r="E343" s="1"/>
      <c r="F343" s="126"/>
      <c r="O343" s="11"/>
    </row>
    <row r="344">
      <c r="A344" s="1"/>
      <c r="B344" s="1"/>
      <c r="C344" s="1"/>
      <c r="D344" s="1"/>
      <c r="E344" s="1"/>
      <c r="F344" s="126"/>
      <c r="O344" s="11"/>
    </row>
    <row r="345">
      <c r="A345" s="1"/>
      <c r="B345" s="1"/>
      <c r="C345" s="1"/>
      <c r="D345" s="1"/>
      <c r="E345" s="1"/>
      <c r="F345" s="126"/>
      <c r="O345" s="11"/>
    </row>
    <row r="346">
      <c r="A346" s="1"/>
      <c r="B346" s="1"/>
      <c r="C346" s="1"/>
      <c r="D346" s="1"/>
      <c r="E346" s="1"/>
      <c r="F346" s="126"/>
      <c r="O346" s="11"/>
    </row>
    <row r="347">
      <c r="A347" s="1"/>
      <c r="B347" s="1"/>
      <c r="C347" s="1"/>
      <c r="D347" s="1"/>
      <c r="E347" s="1"/>
      <c r="F347" s="126"/>
      <c r="O347" s="11"/>
    </row>
    <row r="348">
      <c r="A348" s="1"/>
      <c r="B348" s="1"/>
      <c r="C348" s="1"/>
      <c r="D348" s="1"/>
      <c r="E348" s="1"/>
      <c r="F348" s="126"/>
      <c r="O348" s="11"/>
    </row>
    <row r="349">
      <c r="A349" s="1"/>
      <c r="B349" s="1"/>
      <c r="C349" s="1"/>
      <c r="D349" s="1"/>
      <c r="E349" s="1"/>
      <c r="F349" s="126"/>
      <c r="O349" s="11"/>
    </row>
    <row r="350">
      <c r="A350" s="1"/>
      <c r="B350" s="1"/>
      <c r="C350" s="1"/>
      <c r="D350" s="1"/>
      <c r="E350" s="1"/>
      <c r="F350" s="126"/>
      <c r="O350" s="11"/>
    </row>
    <row r="351">
      <c r="A351" s="1"/>
      <c r="B351" s="1"/>
      <c r="C351" s="1"/>
      <c r="D351" s="1"/>
      <c r="E351" s="1"/>
      <c r="F351" s="126"/>
      <c r="O351" s="11"/>
    </row>
    <row r="352">
      <c r="A352" s="1"/>
      <c r="B352" s="1"/>
      <c r="C352" s="1"/>
      <c r="D352" s="1"/>
      <c r="E352" s="1"/>
      <c r="F352" s="126"/>
      <c r="O352" s="11"/>
    </row>
    <row r="353">
      <c r="A353" s="1"/>
      <c r="B353" s="1"/>
      <c r="C353" s="1"/>
      <c r="D353" s="1"/>
      <c r="E353" s="1"/>
      <c r="F353" s="126"/>
      <c r="O353" s="11"/>
    </row>
    <row r="354">
      <c r="A354" s="1"/>
      <c r="B354" s="1"/>
      <c r="C354" s="1"/>
      <c r="D354" s="1"/>
      <c r="E354" s="1"/>
      <c r="F354" s="126"/>
      <c r="O354" s="11"/>
    </row>
    <row r="355">
      <c r="A355" s="1"/>
      <c r="B355" s="1"/>
      <c r="C355" s="1"/>
      <c r="D355" s="1"/>
      <c r="E355" s="1"/>
      <c r="F355" s="126"/>
      <c r="O355" s="11"/>
    </row>
    <row r="356">
      <c r="A356" s="1"/>
      <c r="B356" s="1"/>
      <c r="C356" s="1"/>
      <c r="D356" s="1"/>
      <c r="E356" s="1"/>
      <c r="F356" s="126"/>
      <c r="O356" s="11"/>
    </row>
    <row r="357">
      <c r="A357" s="1"/>
      <c r="B357" s="1"/>
      <c r="C357" s="1"/>
      <c r="D357" s="1"/>
      <c r="E357" s="1"/>
      <c r="F357" s="126"/>
      <c r="O357" s="11"/>
    </row>
    <row r="358">
      <c r="A358" s="1"/>
      <c r="B358" s="1"/>
      <c r="C358" s="1"/>
      <c r="D358" s="1"/>
      <c r="E358" s="1"/>
      <c r="F358" s="126"/>
      <c r="O358" s="11"/>
    </row>
    <row r="359">
      <c r="A359" s="1"/>
      <c r="B359" s="1"/>
      <c r="C359" s="1"/>
      <c r="D359" s="1"/>
      <c r="E359" s="1"/>
      <c r="F359" s="126"/>
      <c r="O359" s="11"/>
    </row>
    <row r="360">
      <c r="A360" s="1"/>
      <c r="B360" s="1"/>
      <c r="C360" s="1"/>
      <c r="D360" s="1"/>
      <c r="E360" s="1"/>
      <c r="F360" s="126"/>
      <c r="O360" s="11"/>
    </row>
    <row r="361">
      <c r="A361" s="1"/>
      <c r="B361" s="1"/>
      <c r="C361" s="1"/>
      <c r="D361" s="1"/>
      <c r="E361" s="1"/>
      <c r="F361" s="126"/>
      <c r="O361" s="11"/>
    </row>
    <row r="362">
      <c r="A362" s="1"/>
      <c r="B362" s="1"/>
      <c r="C362" s="1"/>
      <c r="D362" s="1"/>
      <c r="E362" s="1"/>
      <c r="F362" s="126"/>
      <c r="O362" s="11"/>
    </row>
    <row r="363">
      <c r="A363" s="1"/>
      <c r="B363" s="1"/>
      <c r="C363" s="1"/>
      <c r="D363" s="1"/>
      <c r="E363" s="1"/>
      <c r="F363" s="126"/>
      <c r="O363" s="11"/>
    </row>
    <row r="364">
      <c r="A364" s="1"/>
      <c r="B364" s="1"/>
      <c r="C364" s="1"/>
      <c r="D364" s="1"/>
      <c r="E364" s="1"/>
      <c r="F364" s="126"/>
      <c r="O364" s="11"/>
    </row>
    <row r="365">
      <c r="A365" s="1"/>
      <c r="B365" s="1"/>
      <c r="C365" s="1"/>
      <c r="D365" s="1"/>
      <c r="E365" s="1"/>
      <c r="F365" s="126"/>
      <c r="O365" s="11"/>
    </row>
    <row r="366">
      <c r="A366" s="1"/>
      <c r="B366" s="1"/>
      <c r="C366" s="1"/>
      <c r="D366" s="1"/>
      <c r="E366" s="1"/>
      <c r="F366" s="126"/>
      <c r="O366" s="11"/>
    </row>
    <row r="367">
      <c r="A367" s="1"/>
      <c r="B367" s="1"/>
      <c r="C367" s="1"/>
      <c r="D367" s="1"/>
      <c r="E367" s="1"/>
      <c r="F367" s="126"/>
      <c r="O367" s="11"/>
    </row>
    <row r="368">
      <c r="A368" s="1"/>
      <c r="B368" s="1"/>
      <c r="C368" s="1"/>
      <c r="D368" s="1"/>
      <c r="E368" s="1"/>
      <c r="F368" s="126"/>
      <c r="O368" s="11"/>
    </row>
    <row r="369">
      <c r="A369" s="1"/>
      <c r="B369" s="1"/>
      <c r="C369" s="1"/>
      <c r="D369" s="1"/>
      <c r="E369" s="1"/>
      <c r="F369" s="126"/>
      <c r="O369" s="11"/>
    </row>
    <row r="370">
      <c r="A370" s="1"/>
      <c r="B370" s="1"/>
      <c r="C370" s="1"/>
      <c r="D370" s="1"/>
      <c r="E370" s="1"/>
      <c r="F370" s="126"/>
      <c r="O370" s="11"/>
    </row>
    <row r="371">
      <c r="A371" s="1"/>
      <c r="B371" s="1"/>
      <c r="C371" s="1"/>
      <c r="D371" s="1"/>
      <c r="E371" s="1"/>
      <c r="F371" s="126"/>
      <c r="O371" s="11"/>
    </row>
    <row r="372">
      <c r="A372" s="1"/>
      <c r="B372" s="1"/>
      <c r="C372" s="1"/>
      <c r="D372" s="1"/>
      <c r="E372" s="1"/>
      <c r="F372" s="126"/>
      <c r="O372" s="11"/>
    </row>
    <row r="373">
      <c r="A373" s="1"/>
      <c r="B373" s="1"/>
      <c r="C373" s="1"/>
      <c r="D373" s="1"/>
      <c r="E373" s="1"/>
      <c r="F373" s="126"/>
      <c r="O373" s="11"/>
    </row>
    <row r="374">
      <c r="A374" s="1"/>
      <c r="B374" s="1"/>
      <c r="C374" s="1"/>
      <c r="D374" s="1"/>
      <c r="E374" s="1"/>
      <c r="F374" s="126"/>
      <c r="O374" s="11"/>
    </row>
    <row r="375">
      <c r="A375" s="1"/>
      <c r="B375" s="1"/>
      <c r="C375" s="1"/>
      <c r="D375" s="1"/>
      <c r="E375" s="1"/>
      <c r="F375" s="126"/>
      <c r="O375" s="11"/>
    </row>
    <row r="376">
      <c r="A376" s="1"/>
      <c r="B376" s="1"/>
      <c r="C376" s="1"/>
      <c r="D376" s="1"/>
      <c r="E376" s="1"/>
      <c r="F376" s="126"/>
      <c r="O376" s="11"/>
    </row>
    <row r="377">
      <c r="A377" s="1"/>
      <c r="B377" s="1"/>
      <c r="C377" s="1"/>
      <c r="D377" s="1"/>
      <c r="E377" s="1"/>
      <c r="F377" s="126"/>
      <c r="O377" s="11"/>
    </row>
    <row r="378">
      <c r="A378" s="1"/>
      <c r="B378" s="1"/>
      <c r="C378" s="1"/>
      <c r="D378" s="1"/>
      <c r="E378" s="1"/>
      <c r="F378" s="126"/>
      <c r="O378" s="11"/>
    </row>
    <row r="379">
      <c r="A379" s="1"/>
      <c r="B379" s="1"/>
      <c r="C379" s="1"/>
      <c r="D379" s="1"/>
      <c r="E379" s="1"/>
      <c r="F379" s="126"/>
      <c r="O379" s="11"/>
    </row>
    <row r="380">
      <c r="A380" s="1"/>
      <c r="B380" s="1"/>
      <c r="C380" s="1"/>
      <c r="D380" s="1"/>
      <c r="E380" s="1"/>
      <c r="F380" s="126"/>
      <c r="O380" s="11"/>
    </row>
    <row r="381">
      <c r="A381" s="1"/>
      <c r="B381" s="1"/>
      <c r="C381" s="1"/>
      <c r="D381" s="1"/>
      <c r="E381" s="1"/>
      <c r="F381" s="126"/>
      <c r="O381" s="11"/>
    </row>
    <row r="382">
      <c r="A382" s="1"/>
      <c r="B382" s="1"/>
      <c r="C382" s="1"/>
      <c r="D382" s="1"/>
      <c r="E382" s="1"/>
      <c r="F382" s="126"/>
      <c r="O382" s="11"/>
    </row>
    <row r="383">
      <c r="A383" s="1"/>
      <c r="B383" s="1"/>
      <c r="C383" s="1"/>
      <c r="D383" s="1"/>
      <c r="E383" s="1"/>
      <c r="F383" s="126"/>
      <c r="O383" s="11"/>
    </row>
    <row r="384">
      <c r="A384" s="1"/>
      <c r="B384" s="1"/>
      <c r="C384" s="1"/>
      <c r="D384" s="1"/>
      <c r="E384" s="1"/>
      <c r="F384" s="126"/>
      <c r="O384" s="11"/>
    </row>
    <row r="385">
      <c r="A385" s="1"/>
      <c r="B385" s="1"/>
      <c r="C385" s="1"/>
      <c r="D385" s="1"/>
      <c r="E385" s="1"/>
      <c r="F385" s="126"/>
      <c r="O385" s="11"/>
    </row>
    <row r="386">
      <c r="A386" s="1"/>
      <c r="B386" s="1"/>
      <c r="C386" s="1"/>
      <c r="D386" s="1"/>
      <c r="E386" s="1"/>
      <c r="F386" s="126"/>
      <c r="O386" s="11"/>
    </row>
    <row r="387">
      <c r="A387" s="1"/>
      <c r="B387" s="1"/>
      <c r="C387" s="1"/>
      <c r="D387" s="1"/>
      <c r="E387" s="1"/>
      <c r="F387" s="126"/>
      <c r="O387" s="11"/>
    </row>
    <row r="388">
      <c r="A388" s="1"/>
      <c r="B388" s="1"/>
      <c r="C388" s="1"/>
      <c r="D388" s="1"/>
      <c r="E388" s="1"/>
      <c r="F388" s="126"/>
      <c r="O388" s="11"/>
    </row>
    <row r="389">
      <c r="A389" s="1"/>
      <c r="B389" s="1"/>
      <c r="C389" s="1"/>
      <c r="D389" s="1"/>
      <c r="E389" s="1"/>
      <c r="F389" s="126"/>
      <c r="O389" s="11"/>
    </row>
    <row r="390">
      <c r="A390" s="1"/>
      <c r="B390" s="1"/>
      <c r="C390" s="1"/>
      <c r="D390" s="1"/>
      <c r="E390" s="1"/>
      <c r="F390" s="126"/>
      <c r="O390" s="11"/>
    </row>
    <row r="391">
      <c r="A391" s="1"/>
      <c r="B391" s="1"/>
      <c r="C391" s="1"/>
      <c r="D391" s="1"/>
      <c r="E391" s="1"/>
      <c r="F391" s="126"/>
      <c r="O391" s="11"/>
    </row>
    <row r="392">
      <c r="A392" s="1"/>
      <c r="B392" s="1"/>
      <c r="C392" s="1"/>
      <c r="D392" s="1"/>
      <c r="E392" s="1"/>
      <c r="F392" s="126"/>
      <c r="O392" s="11"/>
    </row>
    <row r="393">
      <c r="A393" s="1"/>
      <c r="B393" s="1"/>
      <c r="C393" s="1"/>
      <c r="D393" s="1"/>
      <c r="E393" s="1"/>
      <c r="F393" s="126"/>
      <c r="O393" s="11"/>
    </row>
    <row r="394">
      <c r="A394" s="1"/>
      <c r="B394" s="1"/>
      <c r="C394" s="1"/>
      <c r="D394" s="1"/>
      <c r="E394" s="1"/>
      <c r="F394" s="126"/>
      <c r="O394" s="11"/>
    </row>
    <row r="395">
      <c r="A395" s="1"/>
      <c r="B395" s="1"/>
      <c r="C395" s="1"/>
      <c r="D395" s="1"/>
      <c r="E395" s="1"/>
      <c r="F395" s="126"/>
      <c r="O395" s="11"/>
    </row>
    <row r="396">
      <c r="A396" s="1"/>
      <c r="B396" s="1"/>
      <c r="C396" s="1"/>
      <c r="D396" s="1"/>
      <c r="E396" s="1"/>
      <c r="F396" s="126"/>
      <c r="O396" s="11"/>
    </row>
    <row r="397">
      <c r="A397" s="1"/>
      <c r="B397" s="1"/>
      <c r="C397" s="1"/>
      <c r="D397" s="1"/>
      <c r="E397" s="1"/>
      <c r="F397" s="126"/>
      <c r="O397" s="11"/>
    </row>
    <row r="398">
      <c r="A398" s="1"/>
      <c r="B398" s="1"/>
      <c r="C398" s="1"/>
      <c r="D398" s="1"/>
      <c r="E398" s="1"/>
      <c r="F398" s="126"/>
      <c r="O398" s="11"/>
    </row>
    <row r="399">
      <c r="A399" s="1"/>
      <c r="B399" s="1"/>
      <c r="C399" s="1"/>
      <c r="D399" s="1"/>
      <c r="E399" s="1"/>
      <c r="F399" s="126"/>
      <c r="O399" s="11"/>
    </row>
    <row r="400">
      <c r="A400" s="1"/>
      <c r="B400" s="1"/>
      <c r="C400" s="1"/>
      <c r="D400" s="1"/>
      <c r="E400" s="1"/>
      <c r="F400" s="126"/>
      <c r="O400" s="11"/>
    </row>
    <row r="401">
      <c r="A401" s="1"/>
      <c r="B401" s="1"/>
      <c r="C401" s="1"/>
      <c r="D401" s="1"/>
      <c r="E401" s="1"/>
      <c r="F401" s="126"/>
      <c r="O401" s="11"/>
    </row>
    <row r="402">
      <c r="A402" s="1"/>
      <c r="B402" s="1"/>
      <c r="C402" s="1"/>
      <c r="D402" s="1"/>
      <c r="E402" s="1"/>
      <c r="F402" s="126"/>
      <c r="O402" s="11"/>
    </row>
    <row r="403">
      <c r="A403" s="1"/>
      <c r="B403" s="1"/>
      <c r="C403" s="1"/>
      <c r="D403" s="1"/>
      <c r="E403" s="1"/>
      <c r="F403" s="126"/>
      <c r="O403" s="11"/>
    </row>
    <row r="404">
      <c r="A404" s="1"/>
      <c r="B404" s="1"/>
      <c r="C404" s="1"/>
      <c r="D404" s="1"/>
      <c r="E404" s="1"/>
      <c r="F404" s="126"/>
      <c r="O404" s="11"/>
    </row>
    <row r="405">
      <c r="A405" s="1"/>
      <c r="B405" s="1"/>
      <c r="C405" s="1"/>
      <c r="D405" s="1"/>
      <c r="E405" s="1"/>
      <c r="F405" s="126"/>
      <c r="O405" s="11"/>
    </row>
    <row r="406">
      <c r="A406" s="1"/>
      <c r="B406" s="1"/>
      <c r="C406" s="1"/>
      <c r="D406" s="1"/>
      <c r="E406" s="1"/>
      <c r="F406" s="126"/>
      <c r="O406" s="11"/>
    </row>
    <row r="407">
      <c r="A407" s="1"/>
      <c r="B407" s="1"/>
      <c r="C407" s="1"/>
      <c r="D407" s="1"/>
      <c r="E407" s="1"/>
      <c r="F407" s="126"/>
      <c r="O407" s="11"/>
    </row>
    <row r="408">
      <c r="A408" s="1"/>
      <c r="B408" s="1"/>
      <c r="C408" s="1"/>
      <c r="D408" s="1"/>
      <c r="E408" s="1"/>
      <c r="F408" s="126"/>
      <c r="O408" s="11"/>
    </row>
    <row r="409">
      <c r="A409" s="1"/>
      <c r="B409" s="1"/>
      <c r="C409" s="1"/>
      <c r="D409" s="1"/>
      <c r="E409" s="1"/>
      <c r="F409" s="126"/>
      <c r="O409" s="11"/>
    </row>
    <row r="410">
      <c r="A410" s="1"/>
      <c r="B410" s="1"/>
      <c r="C410" s="1"/>
      <c r="D410" s="1"/>
      <c r="E410" s="1"/>
      <c r="F410" s="126"/>
      <c r="O410" s="11"/>
    </row>
    <row r="411">
      <c r="A411" s="1"/>
      <c r="B411" s="1"/>
      <c r="C411" s="1"/>
      <c r="D411" s="1"/>
      <c r="E411" s="1"/>
      <c r="F411" s="126"/>
      <c r="O411" s="11"/>
    </row>
    <row r="412">
      <c r="A412" s="1"/>
      <c r="B412" s="1"/>
      <c r="C412" s="1"/>
      <c r="D412" s="1"/>
      <c r="E412" s="1"/>
      <c r="F412" s="126"/>
      <c r="O412" s="11"/>
    </row>
    <row r="413">
      <c r="A413" s="1"/>
      <c r="B413" s="1"/>
      <c r="C413" s="1"/>
      <c r="D413" s="1"/>
      <c r="E413" s="1"/>
      <c r="F413" s="126"/>
      <c r="O413" s="11"/>
    </row>
    <row r="414">
      <c r="A414" s="1"/>
      <c r="B414" s="1"/>
      <c r="C414" s="1"/>
      <c r="D414" s="1"/>
      <c r="E414" s="1"/>
      <c r="F414" s="126"/>
      <c r="O414" s="11"/>
    </row>
    <row r="415">
      <c r="A415" s="1"/>
      <c r="B415" s="1"/>
      <c r="C415" s="1"/>
      <c r="D415" s="1"/>
      <c r="E415" s="1"/>
      <c r="F415" s="126"/>
      <c r="O415" s="11"/>
    </row>
    <row r="416">
      <c r="A416" s="1"/>
      <c r="B416" s="1"/>
      <c r="C416" s="1"/>
      <c r="D416" s="1"/>
      <c r="E416" s="1"/>
      <c r="F416" s="126"/>
      <c r="O416" s="11"/>
    </row>
    <row r="417">
      <c r="A417" s="1"/>
      <c r="B417" s="1"/>
      <c r="C417" s="1"/>
      <c r="D417" s="1"/>
      <c r="E417" s="1"/>
      <c r="F417" s="126"/>
      <c r="O417" s="11"/>
    </row>
    <row r="418">
      <c r="A418" s="1"/>
      <c r="B418" s="1"/>
      <c r="C418" s="1"/>
      <c r="D418" s="1"/>
      <c r="E418" s="1"/>
      <c r="F418" s="126"/>
      <c r="O418" s="11"/>
    </row>
    <row r="419">
      <c r="A419" s="1"/>
      <c r="B419" s="1"/>
      <c r="C419" s="1"/>
      <c r="D419" s="1"/>
      <c r="E419" s="1"/>
      <c r="F419" s="126"/>
      <c r="O419" s="11"/>
    </row>
    <row r="420">
      <c r="A420" s="1"/>
      <c r="B420" s="1"/>
      <c r="C420" s="1"/>
      <c r="D420" s="1"/>
      <c r="E420" s="1"/>
      <c r="F420" s="126"/>
      <c r="O420" s="11"/>
    </row>
    <row r="421">
      <c r="A421" s="1"/>
      <c r="B421" s="1"/>
      <c r="C421" s="1"/>
      <c r="D421" s="1"/>
      <c r="E421" s="1"/>
      <c r="F421" s="126"/>
      <c r="O421" s="11"/>
    </row>
    <row r="422">
      <c r="A422" s="1"/>
      <c r="B422" s="1"/>
      <c r="C422" s="1"/>
      <c r="D422" s="1"/>
      <c r="E422" s="1"/>
      <c r="F422" s="126"/>
      <c r="O422" s="11"/>
    </row>
    <row r="423">
      <c r="A423" s="1"/>
      <c r="B423" s="1"/>
      <c r="C423" s="1"/>
      <c r="D423" s="1"/>
      <c r="E423" s="1"/>
      <c r="F423" s="126"/>
      <c r="O423" s="11"/>
    </row>
    <row r="424">
      <c r="A424" s="1"/>
      <c r="B424" s="1"/>
      <c r="C424" s="1"/>
      <c r="D424" s="1"/>
      <c r="E424" s="1"/>
      <c r="F424" s="126"/>
      <c r="O424" s="11"/>
    </row>
    <row r="425">
      <c r="A425" s="1"/>
      <c r="B425" s="1"/>
      <c r="C425" s="1"/>
      <c r="D425" s="1"/>
      <c r="E425" s="1"/>
      <c r="F425" s="126"/>
      <c r="O425" s="11"/>
    </row>
    <row r="426">
      <c r="A426" s="1"/>
      <c r="B426" s="1"/>
      <c r="C426" s="1"/>
      <c r="D426" s="1"/>
      <c r="E426" s="1"/>
      <c r="F426" s="126"/>
      <c r="O426" s="11"/>
    </row>
    <row r="427">
      <c r="A427" s="1"/>
      <c r="B427" s="1"/>
      <c r="C427" s="1"/>
      <c r="D427" s="1"/>
      <c r="E427" s="1"/>
      <c r="F427" s="126"/>
      <c r="O427" s="11"/>
    </row>
    <row r="428">
      <c r="A428" s="1"/>
      <c r="B428" s="1"/>
      <c r="C428" s="1"/>
      <c r="D428" s="1"/>
      <c r="E428" s="1"/>
      <c r="F428" s="126"/>
      <c r="O428" s="11"/>
    </row>
    <row r="429">
      <c r="A429" s="1"/>
      <c r="B429" s="1"/>
      <c r="C429" s="1"/>
      <c r="D429" s="1"/>
      <c r="E429" s="1"/>
      <c r="F429" s="126"/>
      <c r="O429" s="11"/>
    </row>
    <row r="430">
      <c r="A430" s="1"/>
      <c r="B430" s="1"/>
      <c r="C430" s="1"/>
      <c r="D430" s="1"/>
      <c r="E430" s="1"/>
      <c r="F430" s="126"/>
      <c r="O430" s="11"/>
    </row>
    <row r="431">
      <c r="A431" s="1"/>
      <c r="B431" s="1"/>
      <c r="C431" s="1"/>
      <c r="D431" s="1"/>
      <c r="E431" s="1"/>
      <c r="F431" s="126"/>
      <c r="O431" s="11"/>
    </row>
    <row r="432">
      <c r="A432" s="1"/>
      <c r="B432" s="1"/>
      <c r="C432" s="1"/>
      <c r="D432" s="1"/>
      <c r="E432" s="1"/>
      <c r="F432" s="126"/>
      <c r="O432" s="11"/>
    </row>
    <row r="433">
      <c r="A433" s="1"/>
      <c r="B433" s="1"/>
      <c r="C433" s="1"/>
      <c r="D433" s="1"/>
      <c r="E433" s="1"/>
      <c r="F433" s="126"/>
      <c r="O433" s="11"/>
    </row>
    <row r="434">
      <c r="A434" s="1"/>
      <c r="B434" s="1"/>
      <c r="C434" s="1"/>
      <c r="D434" s="1"/>
      <c r="E434" s="1"/>
      <c r="F434" s="126"/>
      <c r="O434" s="11"/>
    </row>
    <row r="435">
      <c r="A435" s="1"/>
      <c r="B435" s="1"/>
      <c r="C435" s="1"/>
      <c r="D435" s="1"/>
      <c r="E435" s="1"/>
      <c r="F435" s="126"/>
      <c r="O435" s="11"/>
    </row>
    <row r="436">
      <c r="A436" s="1"/>
      <c r="B436" s="1"/>
      <c r="C436" s="1"/>
      <c r="D436" s="1"/>
      <c r="E436" s="1"/>
      <c r="F436" s="126"/>
      <c r="O436" s="11"/>
    </row>
    <row r="437">
      <c r="A437" s="1"/>
      <c r="B437" s="1"/>
      <c r="C437" s="1"/>
      <c r="D437" s="1"/>
      <c r="E437" s="1"/>
      <c r="F437" s="126"/>
      <c r="O437" s="11"/>
    </row>
    <row r="438">
      <c r="A438" s="1"/>
      <c r="B438" s="1"/>
      <c r="C438" s="1"/>
      <c r="D438" s="1"/>
      <c r="E438" s="1"/>
      <c r="F438" s="126"/>
      <c r="O438" s="11"/>
    </row>
    <row r="439">
      <c r="A439" s="1"/>
      <c r="B439" s="1"/>
      <c r="C439" s="1"/>
      <c r="D439" s="1"/>
      <c r="E439" s="1"/>
      <c r="F439" s="126"/>
      <c r="O439" s="11"/>
    </row>
    <row r="440">
      <c r="A440" s="1"/>
      <c r="B440" s="1"/>
      <c r="C440" s="1"/>
      <c r="D440" s="1"/>
      <c r="E440" s="1"/>
      <c r="F440" s="126"/>
      <c r="O440" s="11"/>
    </row>
    <row r="441">
      <c r="A441" s="1"/>
      <c r="B441" s="1"/>
      <c r="C441" s="1"/>
      <c r="D441" s="1"/>
      <c r="E441" s="1"/>
      <c r="F441" s="126"/>
      <c r="O441" s="11"/>
    </row>
    <row r="442">
      <c r="A442" s="1"/>
      <c r="B442" s="1"/>
      <c r="C442" s="1"/>
      <c r="D442" s="1"/>
      <c r="E442" s="1"/>
      <c r="F442" s="126"/>
      <c r="O442" s="11"/>
    </row>
    <row r="443">
      <c r="A443" s="1"/>
      <c r="B443" s="1"/>
      <c r="C443" s="1"/>
      <c r="D443" s="1"/>
      <c r="E443" s="1"/>
      <c r="F443" s="126"/>
      <c r="O443" s="11"/>
    </row>
    <row r="444">
      <c r="A444" s="1"/>
      <c r="B444" s="1"/>
      <c r="C444" s="1"/>
      <c r="D444" s="1"/>
      <c r="E444" s="1"/>
      <c r="F444" s="126"/>
      <c r="O444" s="11"/>
    </row>
    <row r="445">
      <c r="A445" s="1"/>
      <c r="B445" s="1"/>
      <c r="C445" s="1"/>
      <c r="D445" s="1"/>
      <c r="E445" s="1"/>
      <c r="F445" s="126"/>
      <c r="O445" s="11"/>
    </row>
    <row r="446">
      <c r="A446" s="1"/>
      <c r="B446" s="1"/>
      <c r="C446" s="1"/>
      <c r="D446" s="1"/>
      <c r="E446" s="1"/>
      <c r="F446" s="126"/>
      <c r="O446" s="11"/>
    </row>
    <row r="447">
      <c r="A447" s="1"/>
      <c r="B447" s="1"/>
      <c r="C447" s="1"/>
      <c r="D447" s="1"/>
      <c r="E447" s="1"/>
      <c r="F447" s="126"/>
      <c r="O447" s="11"/>
    </row>
    <row r="448">
      <c r="A448" s="1"/>
      <c r="B448" s="1"/>
      <c r="C448" s="1"/>
      <c r="D448" s="1"/>
      <c r="E448" s="1"/>
      <c r="F448" s="126"/>
      <c r="O448" s="11"/>
    </row>
    <row r="449">
      <c r="A449" s="1"/>
      <c r="B449" s="1"/>
      <c r="C449" s="1"/>
      <c r="D449" s="1"/>
      <c r="E449" s="1"/>
      <c r="F449" s="126"/>
      <c r="O449" s="11"/>
    </row>
    <row r="450">
      <c r="A450" s="1"/>
      <c r="B450" s="1"/>
      <c r="C450" s="1"/>
      <c r="D450" s="1"/>
      <c r="E450" s="1"/>
      <c r="F450" s="126"/>
      <c r="O450" s="11"/>
    </row>
    <row r="451">
      <c r="A451" s="1"/>
      <c r="B451" s="1"/>
      <c r="C451" s="1"/>
      <c r="D451" s="1"/>
      <c r="E451" s="1"/>
      <c r="F451" s="126"/>
      <c r="O451" s="11"/>
    </row>
    <row r="452">
      <c r="A452" s="1"/>
      <c r="B452" s="1"/>
      <c r="C452" s="1"/>
      <c r="D452" s="1"/>
      <c r="E452" s="1"/>
      <c r="F452" s="126"/>
      <c r="O452" s="11"/>
    </row>
    <row r="453">
      <c r="A453" s="1"/>
      <c r="B453" s="1"/>
      <c r="C453" s="1"/>
      <c r="D453" s="1"/>
      <c r="E453" s="1"/>
      <c r="F453" s="126"/>
      <c r="O453" s="11"/>
    </row>
    <row r="454">
      <c r="A454" s="1"/>
      <c r="B454" s="1"/>
      <c r="C454" s="1"/>
      <c r="D454" s="1"/>
      <c r="E454" s="1"/>
      <c r="F454" s="126"/>
      <c r="O454" s="11"/>
    </row>
    <row r="455">
      <c r="A455" s="1"/>
      <c r="B455" s="1"/>
      <c r="C455" s="1"/>
      <c r="D455" s="1"/>
      <c r="E455" s="1"/>
      <c r="F455" s="126"/>
      <c r="O455" s="11"/>
    </row>
    <row r="456">
      <c r="A456" s="1"/>
      <c r="B456" s="1"/>
      <c r="C456" s="1"/>
      <c r="D456" s="1"/>
      <c r="E456" s="1"/>
      <c r="F456" s="126"/>
      <c r="O456" s="11"/>
    </row>
    <row r="457">
      <c r="A457" s="1"/>
      <c r="B457" s="1"/>
      <c r="C457" s="1"/>
      <c r="D457" s="1"/>
      <c r="E457" s="1"/>
      <c r="F457" s="126"/>
      <c r="O457" s="11"/>
    </row>
    <row r="458">
      <c r="A458" s="1"/>
      <c r="B458" s="1"/>
      <c r="C458" s="1"/>
      <c r="D458" s="1"/>
      <c r="E458" s="1"/>
      <c r="F458" s="126"/>
      <c r="O458" s="11"/>
    </row>
    <row r="459">
      <c r="A459" s="1"/>
      <c r="B459" s="1"/>
      <c r="C459" s="1"/>
      <c r="D459" s="1"/>
      <c r="E459" s="1"/>
      <c r="F459" s="126"/>
      <c r="O459" s="11"/>
    </row>
    <row r="460">
      <c r="A460" s="1"/>
      <c r="B460" s="1"/>
      <c r="C460" s="1"/>
      <c r="D460" s="1"/>
      <c r="E460" s="1"/>
      <c r="F460" s="126"/>
      <c r="O460" s="11"/>
    </row>
    <row r="461">
      <c r="A461" s="1"/>
      <c r="B461" s="1"/>
      <c r="C461" s="1"/>
      <c r="D461" s="1"/>
      <c r="E461" s="1"/>
      <c r="F461" s="126"/>
      <c r="O461" s="11"/>
    </row>
    <row r="462">
      <c r="A462" s="1"/>
      <c r="B462" s="1"/>
      <c r="C462" s="1"/>
      <c r="D462" s="1"/>
      <c r="E462" s="1"/>
      <c r="F462" s="126"/>
      <c r="O462" s="11"/>
    </row>
    <row r="463">
      <c r="A463" s="1"/>
      <c r="B463" s="1"/>
      <c r="C463" s="1"/>
      <c r="D463" s="1"/>
      <c r="E463" s="1"/>
      <c r="F463" s="126"/>
      <c r="O463" s="11"/>
    </row>
    <row r="464">
      <c r="A464" s="1"/>
      <c r="B464" s="1"/>
      <c r="C464" s="1"/>
      <c r="D464" s="1"/>
      <c r="E464" s="1"/>
      <c r="F464" s="126"/>
      <c r="O464" s="11"/>
    </row>
    <row r="465">
      <c r="A465" s="1"/>
      <c r="B465" s="1"/>
      <c r="C465" s="1"/>
      <c r="D465" s="1"/>
      <c r="E465" s="1"/>
      <c r="F465" s="126"/>
      <c r="O465" s="11"/>
    </row>
    <row r="466">
      <c r="A466" s="1"/>
      <c r="B466" s="1"/>
      <c r="C466" s="1"/>
      <c r="D466" s="1"/>
      <c r="E466" s="1"/>
      <c r="F466" s="126"/>
      <c r="O466" s="11"/>
    </row>
    <row r="467">
      <c r="A467" s="1"/>
      <c r="B467" s="1"/>
      <c r="C467" s="1"/>
      <c r="D467" s="1"/>
      <c r="E467" s="1"/>
      <c r="F467" s="126"/>
      <c r="O467" s="11"/>
    </row>
    <row r="468">
      <c r="A468" s="1"/>
      <c r="B468" s="1"/>
      <c r="C468" s="1"/>
      <c r="D468" s="1"/>
      <c r="E468" s="1"/>
      <c r="F468" s="126"/>
      <c r="O468" s="11"/>
    </row>
    <row r="469">
      <c r="A469" s="1"/>
      <c r="B469" s="1"/>
      <c r="C469" s="1"/>
      <c r="D469" s="1"/>
      <c r="E469" s="1"/>
      <c r="F469" s="126"/>
      <c r="O469" s="11"/>
    </row>
    <row r="470">
      <c r="A470" s="1"/>
      <c r="B470" s="1"/>
      <c r="C470" s="1"/>
      <c r="D470" s="1"/>
      <c r="E470" s="1"/>
      <c r="F470" s="126"/>
      <c r="O470" s="11"/>
    </row>
    <row r="471">
      <c r="A471" s="1"/>
      <c r="B471" s="1"/>
      <c r="C471" s="1"/>
      <c r="D471" s="1"/>
      <c r="E471" s="1"/>
      <c r="F471" s="126"/>
      <c r="O471" s="11"/>
    </row>
    <row r="472">
      <c r="A472" s="1"/>
      <c r="B472" s="1"/>
      <c r="C472" s="1"/>
      <c r="D472" s="1"/>
      <c r="E472" s="1"/>
      <c r="F472" s="126"/>
      <c r="O472" s="11"/>
    </row>
    <row r="473">
      <c r="A473" s="1"/>
      <c r="B473" s="1"/>
      <c r="C473" s="1"/>
      <c r="D473" s="1"/>
      <c r="E473" s="1"/>
      <c r="F473" s="126"/>
      <c r="O473" s="11"/>
    </row>
    <row r="474">
      <c r="A474" s="1"/>
      <c r="B474" s="1"/>
      <c r="C474" s="1"/>
      <c r="D474" s="1"/>
      <c r="E474" s="1"/>
      <c r="F474" s="126"/>
      <c r="O474" s="11"/>
    </row>
    <row r="475">
      <c r="A475" s="1"/>
      <c r="B475" s="1"/>
      <c r="C475" s="1"/>
      <c r="D475" s="1"/>
      <c r="E475" s="1"/>
      <c r="F475" s="126"/>
      <c r="O475" s="11"/>
    </row>
    <row r="476">
      <c r="A476" s="1"/>
      <c r="B476" s="1"/>
      <c r="C476" s="1"/>
      <c r="D476" s="1"/>
      <c r="E476" s="1"/>
      <c r="F476" s="126"/>
      <c r="O476" s="11"/>
    </row>
    <row r="477">
      <c r="A477" s="1"/>
      <c r="B477" s="1"/>
      <c r="C477" s="1"/>
      <c r="D477" s="1"/>
      <c r="E477" s="1"/>
      <c r="F477" s="126"/>
      <c r="O477" s="11"/>
    </row>
    <row r="478">
      <c r="A478" s="1"/>
      <c r="B478" s="1"/>
      <c r="C478" s="1"/>
      <c r="D478" s="1"/>
      <c r="E478" s="1"/>
      <c r="F478" s="126"/>
      <c r="O478" s="11"/>
    </row>
    <row r="479">
      <c r="A479" s="1"/>
      <c r="B479" s="1"/>
      <c r="C479" s="1"/>
      <c r="D479" s="1"/>
      <c r="E479" s="1"/>
      <c r="F479" s="126"/>
      <c r="O479" s="11"/>
    </row>
    <row r="480">
      <c r="A480" s="1"/>
      <c r="B480" s="1"/>
      <c r="C480" s="1"/>
      <c r="D480" s="1"/>
      <c r="E480" s="1"/>
      <c r="F480" s="126"/>
      <c r="O480" s="11"/>
    </row>
    <row r="481">
      <c r="A481" s="1"/>
      <c r="B481" s="1"/>
      <c r="C481" s="1"/>
      <c r="D481" s="1"/>
      <c r="E481" s="1"/>
      <c r="F481" s="126"/>
      <c r="O481" s="11"/>
    </row>
    <row r="482">
      <c r="A482" s="1"/>
      <c r="B482" s="1"/>
      <c r="C482" s="1"/>
      <c r="D482" s="1"/>
      <c r="E482" s="1"/>
      <c r="F482" s="126"/>
      <c r="O482" s="11"/>
    </row>
    <row r="483">
      <c r="A483" s="1"/>
      <c r="B483" s="1"/>
      <c r="C483" s="1"/>
      <c r="D483" s="1"/>
      <c r="E483" s="1"/>
      <c r="F483" s="126"/>
      <c r="O483" s="11"/>
    </row>
    <row r="484">
      <c r="A484" s="1"/>
      <c r="B484" s="1"/>
      <c r="C484" s="1"/>
      <c r="D484" s="1"/>
      <c r="E484" s="1"/>
      <c r="F484" s="126"/>
      <c r="O484" s="11"/>
    </row>
    <row r="485">
      <c r="A485" s="1"/>
      <c r="B485" s="1"/>
      <c r="C485" s="1"/>
      <c r="D485" s="1"/>
      <c r="E485" s="1"/>
      <c r="F485" s="126"/>
      <c r="O485" s="11"/>
    </row>
    <row r="486">
      <c r="A486" s="1"/>
      <c r="B486" s="1"/>
      <c r="C486" s="1"/>
      <c r="D486" s="1"/>
      <c r="E486" s="1"/>
      <c r="F486" s="126"/>
      <c r="O486" s="11"/>
    </row>
    <row r="487">
      <c r="A487" s="1"/>
      <c r="B487" s="1"/>
      <c r="C487" s="1"/>
      <c r="D487" s="1"/>
      <c r="E487" s="1"/>
      <c r="F487" s="126"/>
      <c r="O487" s="11"/>
    </row>
    <row r="488">
      <c r="A488" s="1"/>
      <c r="B488" s="1"/>
      <c r="C488" s="1"/>
      <c r="D488" s="1"/>
      <c r="E488" s="1"/>
      <c r="F488" s="126"/>
      <c r="O488" s="11"/>
    </row>
    <row r="489">
      <c r="A489" s="1"/>
      <c r="B489" s="1"/>
      <c r="C489" s="1"/>
      <c r="D489" s="1"/>
      <c r="E489" s="1"/>
      <c r="F489" s="126"/>
      <c r="O489" s="11"/>
    </row>
    <row r="490">
      <c r="A490" s="1"/>
      <c r="B490" s="1"/>
      <c r="C490" s="1"/>
      <c r="D490" s="1"/>
      <c r="E490" s="1"/>
      <c r="F490" s="126"/>
      <c r="O490" s="11"/>
    </row>
    <row r="491">
      <c r="A491" s="1"/>
      <c r="B491" s="1"/>
      <c r="C491" s="1"/>
      <c r="D491" s="1"/>
      <c r="E491" s="1"/>
      <c r="F491" s="126"/>
      <c r="O491" s="11"/>
    </row>
    <row r="492">
      <c r="A492" s="1"/>
      <c r="B492" s="1"/>
      <c r="C492" s="1"/>
      <c r="D492" s="1"/>
      <c r="E492" s="1"/>
      <c r="F492" s="126"/>
      <c r="O492" s="11"/>
    </row>
    <row r="493">
      <c r="A493" s="1"/>
      <c r="B493" s="1"/>
      <c r="C493" s="1"/>
      <c r="D493" s="1"/>
      <c r="E493" s="1"/>
      <c r="F493" s="126"/>
      <c r="O493" s="11"/>
    </row>
    <row r="494">
      <c r="A494" s="1"/>
      <c r="B494" s="1"/>
      <c r="C494" s="1"/>
      <c r="D494" s="1"/>
      <c r="E494" s="1"/>
      <c r="F494" s="126"/>
      <c r="O494" s="11"/>
    </row>
    <row r="495">
      <c r="A495" s="1"/>
      <c r="B495" s="1"/>
      <c r="C495" s="1"/>
      <c r="D495" s="1"/>
      <c r="E495" s="1"/>
      <c r="F495" s="126"/>
      <c r="O495" s="11"/>
    </row>
    <row r="496">
      <c r="A496" s="1"/>
      <c r="B496" s="1"/>
      <c r="C496" s="1"/>
      <c r="D496" s="1"/>
      <c r="E496" s="1"/>
      <c r="F496" s="126"/>
      <c r="O496" s="11"/>
    </row>
    <row r="497">
      <c r="A497" s="1"/>
      <c r="B497" s="1"/>
      <c r="C497" s="1"/>
      <c r="D497" s="1"/>
      <c r="E497" s="1"/>
      <c r="F497" s="126"/>
      <c r="O497" s="11"/>
    </row>
    <row r="498">
      <c r="A498" s="1"/>
      <c r="B498" s="1"/>
      <c r="C498" s="1"/>
      <c r="D498" s="1"/>
      <c r="E498" s="1"/>
      <c r="F498" s="126"/>
      <c r="O498" s="11"/>
    </row>
    <row r="499">
      <c r="A499" s="1"/>
      <c r="B499" s="1"/>
      <c r="C499" s="1"/>
      <c r="D499" s="1"/>
      <c r="E499" s="1"/>
      <c r="F499" s="126"/>
      <c r="O499" s="11"/>
    </row>
    <row r="500">
      <c r="A500" s="1"/>
      <c r="B500" s="1"/>
      <c r="C500" s="1"/>
      <c r="D500" s="1"/>
      <c r="E500" s="1"/>
      <c r="F500" s="126"/>
      <c r="O500" s="11"/>
    </row>
    <row r="501">
      <c r="A501" s="1"/>
      <c r="B501" s="1"/>
      <c r="C501" s="1"/>
      <c r="D501" s="1"/>
      <c r="E501" s="1"/>
      <c r="F501" s="126"/>
      <c r="O501" s="11"/>
    </row>
    <row r="502">
      <c r="A502" s="1"/>
      <c r="B502" s="1"/>
      <c r="C502" s="1"/>
      <c r="D502" s="1"/>
      <c r="E502" s="1"/>
      <c r="F502" s="126"/>
      <c r="O502" s="11"/>
    </row>
    <row r="503">
      <c r="A503" s="1"/>
      <c r="B503" s="1"/>
      <c r="C503" s="1"/>
      <c r="D503" s="1"/>
      <c r="E503" s="1"/>
      <c r="F503" s="126"/>
      <c r="O503" s="11"/>
    </row>
    <row r="504">
      <c r="A504" s="1"/>
      <c r="B504" s="1"/>
      <c r="C504" s="1"/>
      <c r="D504" s="1"/>
      <c r="E504" s="1"/>
      <c r="F504" s="126"/>
      <c r="O504" s="11"/>
    </row>
    <row r="505">
      <c r="A505" s="1"/>
      <c r="B505" s="1"/>
      <c r="C505" s="1"/>
      <c r="D505" s="1"/>
      <c r="E505" s="1"/>
      <c r="F505" s="126"/>
      <c r="O505" s="11"/>
    </row>
    <row r="506">
      <c r="A506" s="1"/>
      <c r="B506" s="1"/>
      <c r="C506" s="1"/>
      <c r="D506" s="1"/>
      <c r="E506" s="1"/>
      <c r="F506" s="126"/>
      <c r="O506" s="11"/>
    </row>
    <row r="507">
      <c r="A507" s="1"/>
      <c r="B507" s="1"/>
      <c r="C507" s="1"/>
      <c r="D507" s="1"/>
      <c r="E507" s="1"/>
      <c r="F507" s="126"/>
      <c r="O507" s="11"/>
    </row>
    <row r="508">
      <c r="A508" s="1"/>
      <c r="B508" s="1"/>
      <c r="C508" s="1"/>
      <c r="D508" s="1"/>
      <c r="E508" s="1"/>
      <c r="F508" s="126"/>
      <c r="O508" s="11"/>
    </row>
    <row r="509">
      <c r="A509" s="1"/>
      <c r="B509" s="1"/>
      <c r="C509" s="1"/>
      <c r="D509" s="1"/>
      <c r="E509" s="1"/>
      <c r="F509" s="126"/>
      <c r="O509" s="11"/>
    </row>
    <row r="510">
      <c r="A510" s="1"/>
      <c r="B510" s="1"/>
      <c r="C510" s="1"/>
      <c r="D510" s="1"/>
      <c r="E510" s="1"/>
      <c r="F510" s="126"/>
      <c r="O510" s="11"/>
    </row>
    <row r="511">
      <c r="A511" s="1"/>
      <c r="B511" s="1"/>
      <c r="C511" s="1"/>
      <c r="D511" s="1"/>
      <c r="E511" s="1"/>
      <c r="F511" s="126"/>
      <c r="O511" s="11"/>
    </row>
    <row r="512">
      <c r="A512" s="1"/>
      <c r="B512" s="1"/>
      <c r="C512" s="1"/>
      <c r="D512" s="1"/>
      <c r="E512" s="1"/>
      <c r="F512" s="126"/>
      <c r="O512" s="11"/>
    </row>
    <row r="513">
      <c r="A513" s="1"/>
      <c r="B513" s="1"/>
      <c r="C513" s="1"/>
      <c r="D513" s="1"/>
      <c r="E513" s="1"/>
      <c r="F513" s="126"/>
      <c r="O513" s="11"/>
    </row>
    <row r="514">
      <c r="A514" s="1"/>
      <c r="B514" s="1"/>
      <c r="C514" s="1"/>
      <c r="D514" s="1"/>
      <c r="E514" s="1"/>
      <c r="F514" s="126"/>
      <c r="O514" s="11"/>
    </row>
    <row r="515">
      <c r="A515" s="1"/>
      <c r="B515" s="1"/>
      <c r="C515" s="1"/>
      <c r="D515" s="1"/>
      <c r="E515" s="1"/>
      <c r="F515" s="126"/>
      <c r="O515" s="11"/>
    </row>
    <row r="516">
      <c r="A516" s="1"/>
      <c r="B516" s="1"/>
      <c r="C516" s="1"/>
      <c r="D516" s="1"/>
      <c r="E516" s="1"/>
      <c r="F516" s="126"/>
      <c r="O516" s="11"/>
    </row>
    <row r="517">
      <c r="A517" s="1"/>
      <c r="B517" s="1"/>
      <c r="C517" s="1"/>
      <c r="D517" s="1"/>
      <c r="E517" s="1"/>
      <c r="F517" s="126"/>
      <c r="O517" s="11"/>
    </row>
    <row r="518">
      <c r="A518" s="1"/>
      <c r="B518" s="1"/>
      <c r="C518" s="1"/>
      <c r="D518" s="1"/>
      <c r="E518" s="1"/>
      <c r="F518" s="126"/>
      <c r="O518" s="11"/>
    </row>
    <row r="519">
      <c r="A519" s="1"/>
      <c r="B519" s="1"/>
      <c r="C519" s="1"/>
      <c r="D519" s="1"/>
      <c r="E519" s="1"/>
      <c r="F519" s="126"/>
      <c r="O519" s="11"/>
    </row>
    <row r="520">
      <c r="A520" s="1"/>
      <c r="B520" s="1"/>
      <c r="C520" s="1"/>
      <c r="D520" s="1"/>
      <c r="E520" s="1"/>
      <c r="F520" s="126"/>
      <c r="O520" s="11"/>
    </row>
    <row r="521">
      <c r="A521" s="1"/>
      <c r="B521" s="1"/>
      <c r="C521" s="1"/>
      <c r="D521" s="1"/>
      <c r="E521" s="1"/>
      <c r="F521" s="126"/>
      <c r="O521" s="11"/>
    </row>
    <row r="522">
      <c r="A522" s="1"/>
      <c r="B522" s="1"/>
      <c r="C522" s="1"/>
      <c r="D522" s="1"/>
      <c r="E522" s="1"/>
      <c r="F522" s="126"/>
      <c r="O522" s="11"/>
    </row>
    <row r="523">
      <c r="A523" s="1"/>
      <c r="B523" s="1"/>
      <c r="C523" s="1"/>
      <c r="D523" s="1"/>
      <c r="E523" s="1"/>
      <c r="F523" s="126"/>
      <c r="O523" s="11"/>
    </row>
    <row r="524">
      <c r="A524" s="1"/>
      <c r="B524" s="1"/>
      <c r="C524" s="1"/>
      <c r="D524" s="1"/>
      <c r="E524" s="1"/>
      <c r="F524" s="126"/>
      <c r="O524" s="11"/>
    </row>
    <row r="525">
      <c r="A525" s="1"/>
      <c r="B525" s="1"/>
      <c r="C525" s="1"/>
      <c r="D525" s="1"/>
      <c r="E525" s="1"/>
      <c r="F525" s="126"/>
      <c r="O525" s="11"/>
    </row>
    <row r="526">
      <c r="A526" s="1"/>
      <c r="B526" s="1"/>
      <c r="C526" s="1"/>
      <c r="D526" s="1"/>
      <c r="E526" s="1"/>
      <c r="F526" s="126"/>
      <c r="O526" s="11"/>
    </row>
    <row r="527">
      <c r="A527" s="1"/>
      <c r="B527" s="1"/>
      <c r="C527" s="1"/>
      <c r="D527" s="1"/>
      <c r="E527" s="1"/>
      <c r="F527" s="126"/>
      <c r="O527" s="11"/>
    </row>
    <row r="528">
      <c r="A528" s="1"/>
      <c r="B528" s="1"/>
      <c r="C528" s="1"/>
      <c r="D528" s="1"/>
      <c r="E528" s="1"/>
      <c r="F528" s="126"/>
      <c r="O528" s="11"/>
    </row>
    <row r="529">
      <c r="A529" s="1"/>
      <c r="B529" s="1"/>
      <c r="C529" s="1"/>
      <c r="D529" s="1"/>
      <c r="E529" s="1"/>
      <c r="F529" s="126"/>
      <c r="O529" s="11"/>
    </row>
    <row r="530">
      <c r="A530" s="1"/>
      <c r="B530" s="1"/>
      <c r="C530" s="1"/>
      <c r="D530" s="1"/>
      <c r="E530" s="1"/>
      <c r="F530" s="126"/>
      <c r="O530" s="11"/>
    </row>
    <row r="531">
      <c r="A531" s="1"/>
      <c r="B531" s="1"/>
      <c r="C531" s="1"/>
      <c r="D531" s="1"/>
      <c r="E531" s="1"/>
      <c r="F531" s="126"/>
      <c r="O531" s="11"/>
    </row>
    <row r="532">
      <c r="A532" s="1"/>
      <c r="B532" s="1"/>
      <c r="C532" s="1"/>
      <c r="D532" s="1"/>
      <c r="E532" s="1"/>
      <c r="F532" s="126"/>
      <c r="O532" s="11"/>
    </row>
    <row r="533">
      <c r="A533" s="1"/>
      <c r="B533" s="1"/>
      <c r="C533" s="1"/>
      <c r="D533" s="1"/>
      <c r="E533" s="1"/>
      <c r="F533" s="126"/>
      <c r="O533" s="11"/>
    </row>
    <row r="534">
      <c r="A534" s="1"/>
      <c r="B534" s="1"/>
      <c r="C534" s="1"/>
      <c r="D534" s="1"/>
      <c r="E534" s="1"/>
      <c r="F534" s="126"/>
      <c r="O534" s="11"/>
    </row>
    <row r="535">
      <c r="A535" s="1"/>
      <c r="B535" s="1"/>
      <c r="C535" s="1"/>
      <c r="D535" s="1"/>
      <c r="E535" s="1"/>
      <c r="F535" s="126"/>
      <c r="O535" s="11"/>
    </row>
    <row r="536">
      <c r="A536" s="1"/>
      <c r="B536" s="1"/>
      <c r="C536" s="1"/>
      <c r="D536" s="1"/>
      <c r="E536" s="1"/>
      <c r="F536" s="126"/>
      <c r="O536" s="11"/>
    </row>
    <row r="537">
      <c r="A537" s="1"/>
      <c r="B537" s="1"/>
      <c r="C537" s="1"/>
      <c r="D537" s="1"/>
      <c r="E537" s="1"/>
      <c r="F537" s="126"/>
      <c r="O537" s="11"/>
    </row>
    <row r="538">
      <c r="A538" s="1"/>
      <c r="B538" s="1"/>
      <c r="C538" s="1"/>
      <c r="D538" s="1"/>
      <c r="E538" s="1"/>
      <c r="F538" s="126"/>
      <c r="O538" s="11"/>
    </row>
    <row r="539">
      <c r="A539" s="1"/>
      <c r="B539" s="1"/>
      <c r="C539" s="1"/>
      <c r="D539" s="1"/>
      <c r="E539" s="1"/>
      <c r="F539" s="126"/>
      <c r="O539" s="11"/>
    </row>
    <row r="540">
      <c r="A540" s="1"/>
      <c r="B540" s="1"/>
      <c r="C540" s="1"/>
      <c r="D540" s="1"/>
      <c r="E540" s="1"/>
      <c r="F540" s="126"/>
      <c r="O540" s="11"/>
    </row>
    <row r="541">
      <c r="A541" s="1"/>
      <c r="B541" s="1"/>
      <c r="C541" s="1"/>
      <c r="D541" s="1"/>
      <c r="E541" s="1"/>
      <c r="F541" s="126"/>
      <c r="O541" s="11"/>
    </row>
    <row r="542">
      <c r="A542" s="1"/>
      <c r="B542" s="1"/>
      <c r="C542" s="1"/>
      <c r="D542" s="1"/>
      <c r="E542" s="1"/>
      <c r="F542" s="126"/>
      <c r="O542" s="11"/>
    </row>
    <row r="543">
      <c r="A543" s="1"/>
      <c r="B543" s="1"/>
      <c r="C543" s="1"/>
      <c r="D543" s="1"/>
      <c r="E543" s="1"/>
      <c r="F543" s="126"/>
      <c r="O543" s="11"/>
    </row>
    <row r="544">
      <c r="A544" s="1"/>
      <c r="B544" s="1"/>
      <c r="C544" s="1"/>
      <c r="D544" s="1"/>
      <c r="E544" s="1"/>
      <c r="F544" s="126"/>
      <c r="O544" s="11"/>
    </row>
    <row r="545">
      <c r="A545" s="1"/>
      <c r="B545" s="1"/>
      <c r="C545" s="1"/>
      <c r="D545" s="1"/>
      <c r="E545" s="1"/>
      <c r="F545" s="126"/>
      <c r="O545" s="11"/>
    </row>
    <row r="546">
      <c r="A546" s="1"/>
      <c r="B546" s="1"/>
      <c r="C546" s="1"/>
      <c r="D546" s="1"/>
      <c r="E546" s="1"/>
      <c r="F546" s="126"/>
      <c r="O546" s="11"/>
    </row>
    <row r="547">
      <c r="A547" s="1"/>
      <c r="B547" s="1"/>
      <c r="C547" s="1"/>
      <c r="D547" s="1"/>
      <c r="E547" s="1"/>
      <c r="F547" s="126"/>
      <c r="O547" s="11"/>
    </row>
    <row r="548">
      <c r="A548" s="1"/>
      <c r="B548" s="1"/>
      <c r="C548" s="1"/>
      <c r="D548" s="1"/>
      <c r="E548" s="1"/>
      <c r="F548" s="126"/>
      <c r="O548" s="11"/>
    </row>
    <row r="549">
      <c r="A549" s="1"/>
      <c r="B549" s="1"/>
      <c r="C549" s="1"/>
      <c r="D549" s="1"/>
      <c r="E549" s="1"/>
      <c r="F549" s="126"/>
      <c r="O549" s="11"/>
    </row>
    <row r="550">
      <c r="A550" s="1"/>
      <c r="B550" s="1"/>
      <c r="C550" s="1"/>
      <c r="D550" s="1"/>
      <c r="E550" s="1"/>
      <c r="F550" s="126"/>
      <c r="O550" s="11"/>
    </row>
    <row r="551">
      <c r="A551" s="1"/>
      <c r="B551" s="1"/>
      <c r="C551" s="1"/>
      <c r="D551" s="1"/>
      <c r="E551" s="1"/>
      <c r="F551" s="126"/>
      <c r="O551" s="11"/>
    </row>
    <row r="552">
      <c r="A552" s="1"/>
      <c r="B552" s="1"/>
      <c r="C552" s="1"/>
      <c r="D552" s="1"/>
      <c r="E552" s="1"/>
      <c r="F552" s="126"/>
      <c r="O552" s="11"/>
    </row>
    <row r="553">
      <c r="A553" s="1"/>
      <c r="B553" s="1"/>
      <c r="C553" s="1"/>
      <c r="D553" s="1"/>
      <c r="E553" s="1"/>
      <c r="F553" s="126"/>
      <c r="O553" s="11"/>
    </row>
    <row r="554">
      <c r="A554" s="1"/>
      <c r="B554" s="1"/>
      <c r="C554" s="1"/>
      <c r="D554" s="1"/>
      <c r="E554" s="1"/>
      <c r="F554" s="126"/>
      <c r="O554" s="11"/>
    </row>
    <row r="555">
      <c r="A555" s="1"/>
      <c r="B555" s="1"/>
      <c r="C555" s="1"/>
      <c r="D555" s="1"/>
      <c r="E555" s="1"/>
      <c r="F555" s="126"/>
      <c r="O555" s="11"/>
    </row>
    <row r="556">
      <c r="A556" s="1"/>
      <c r="B556" s="1"/>
      <c r="C556" s="1"/>
      <c r="D556" s="1"/>
      <c r="E556" s="1"/>
      <c r="F556" s="126"/>
      <c r="O556" s="11"/>
    </row>
    <row r="557">
      <c r="A557" s="1"/>
      <c r="B557" s="1"/>
      <c r="C557" s="1"/>
      <c r="D557" s="1"/>
      <c r="E557" s="1"/>
      <c r="F557" s="126"/>
      <c r="O557" s="11"/>
    </row>
    <row r="558">
      <c r="A558" s="1"/>
      <c r="B558" s="1"/>
      <c r="C558" s="1"/>
      <c r="D558" s="1"/>
      <c r="E558" s="1"/>
      <c r="F558" s="126"/>
      <c r="O558" s="11"/>
    </row>
    <row r="559">
      <c r="A559" s="1"/>
      <c r="B559" s="1"/>
      <c r="C559" s="1"/>
      <c r="D559" s="1"/>
      <c r="E559" s="1"/>
      <c r="F559" s="126"/>
      <c r="O559" s="11"/>
    </row>
    <row r="560">
      <c r="A560" s="1"/>
      <c r="B560" s="1"/>
      <c r="C560" s="1"/>
      <c r="D560" s="1"/>
      <c r="E560" s="1"/>
      <c r="F560" s="126"/>
      <c r="O560" s="11"/>
    </row>
    <row r="561">
      <c r="A561" s="1"/>
      <c r="B561" s="1"/>
      <c r="C561" s="1"/>
      <c r="D561" s="1"/>
      <c r="E561" s="1"/>
      <c r="F561" s="126"/>
      <c r="O561" s="11"/>
    </row>
    <row r="562">
      <c r="A562" s="1"/>
      <c r="B562" s="1"/>
      <c r="C562" s="1"/>
      <c r="D562" s="1"/>
      <c r="E562" s="1"/>
      <c r="F562" s="126"/>
      <c r="O562" s="11"/>
    </row>
    <row r="563">
      <c r="A563" s="1"/>
      <c r="B563" s="1"/>
      <c r="C563" s="1"/>
      <c r="D563" s="1"/>
      <c r="E563" s="1"/>
      <c r="F563" s="126"/>
      <c r="O563" s="11"/>
    </row>
    <row r="564">
      <c r="A564" s="1"/>
      <c r="B564" s="1"/>
      <c r="C564" s="1"/>
      <c r="D564" s="1"/>
      <c r="E564" s="1"/>
      <c r="F564" s="126"/>
      <c r="O564" s="11"/>
    </row>
    <row r="565">
      <c r="A565" s="1"/>
      <c r="B565" s="1"/>
      <c r="C565" s="1"/>
      <c r="D565" s="1"/>
      <c r="E565" s="1"/>
      <c r="F565" s="126"/>
      <c r="O565" s="11"/>
    </row>
    <row r="566">
      <c r="A566" s="1"/>
      <c r="B566" s="1"/>
      <c r="C566" s="1"/>
      <c r="D566" s="1"/>
      <c r="E566" s="1"/>
      <c r="F566" s="126"/>
      <c r="O566" s="11"/>
    </row>
    <row r="567">
      <c r="A567" s="1"/>
      <c r="B567" s="1"/>
      <c r="C567" s="1"/>
      <c r="D567" s="1"/>
      <c r="E567" s="1"/>
      <c r="F567" s="126"/>
      <c r="O567" s="11"/>
    </row>
    <row r="568">
      <c r="A568" s="1"/>
      <c r="B568" s="1"/>
      <c r="C568" s="1"/>
      <c r="D568" s="1"/>
      <c r="E568" s="1"/>
      <c r="F568" s="126"/>
      <c r="O568" s="11"/>
    </row>
    <row r="569">
      <c r="A569" s="1"/>
      <c r="B569" s="1"/>
      <c r="C569" s="1"/>
      <c r="D569" s="1"/>
      <c r="E569" s="1"/>
      <c r="F569" s="126"/>
      <c r="O569" s="11"/>
    </row>
    <row r="570">
      <c r="A570" s="1"/>
      <c r="B570" s="1"/>
      <c r="C570" s="1"/>
      <c r="D570" s="1"/>
      <c r="E570" s="1"/>
      <c r="F570" s="126"/>
      <c r="O570" s="11"/>
    </row>
    <row r="571">
      <c r="A571" s="1"/>
      <c r="B571" s="1"/>
      <c r="C571" s="1"/>
      <c r="D571" s="1"/>
      <c r="E571" s="1"/>
      <c r="F571" s="126"/>
      <c r="O571" s="11"/>
    </row>
    <row r="572">
      <c r="A572" s="1"/>
      <c r="B572" s="1"/>
      <c r="C572" s="1"/>
      <c r="D572" s="1"/>
      <c r="E572" s="1"/>
      <c r="F572" s="126"/>
      <c r="O572" s="11"/>
    </row>
    <row r="573">
      <c r="A573" s="1"/>
      <c r="B573" s="1"/>
      <c r="C573" s="1"/>
      <c r="D573" s="1"/>
      <c r="E573" s="1"/>
      <c r="F573" s="126"/>
      <c r="O573" s="11"/>
    </row>
    <row r="574">
      <c r="A574" s="1"/>
      <c r="B574" s="1"/>
      <c r="C574" s="1"/>
      <c r="D574" s="1"/>
      <c r="E574" s="1"/>
      <c r="F574" s="126"/>
      <c r="O574" s="11"/>
    </row>
    <row r="575">
      <c r="A575" s="1"/>
      <c r="B575" s="1"/>
      <c r="C575" s="1"/>
      <c r="D575" s="1"/>
      <c r="E575" s="1"/>
      <c r="F575" s="126"/>
      <c r="O575" s="11"/>
    </row>
    <row r="576">
      <c r="A576" s="1"/>
      <c r="B576" s="1"/>
      <c r="C576" s="1"/>
      <c r="D576" s="1"/>
      <c r="E576" s="1"/>
      <c r="F576" s="126"/>
      <c r="O576" s="11"/>
    </row>
    <row r="577">
      <c r="A577" s="1"/>
      <c r="B577" s="1"/>
      <c r="C577" s="1"/>
      <c r="D577" s="1"/>
      <c r="E577" s="1"/>
      <c r="F577" s="126"/>
      <c r="O577" s="11"/>
    </row>
    <row r="578">
      <c r="A578" s="1"/>
      <c r="B578" s="1"/>
      <c r="C578" s="1"/>
      <c r="D578" s="1"/>
      <c r="E578" s="1"/>
      <c r="F578" s="126"/>
      <c r="O578" s="11"/>
    </row>
    <row r="579">
      <c r="A579" s="1"/>
      <c r="B579" s="1"/>
      <c r="C579" s="1"/>
      <c r="D579" s="1"/>
      <c r="E579" s="1"/>
      <c r="F579" s="126"/>
      <c r="O579" s="11"/>
    </row>
    <row r="580">
      <c r="A580" s="1"/>
      <c r="B580" s="1"/>
      <c r="C580" s="1"/>
      <c r="D580" s="1"/>
      <c r="E580" s="1"/>
      <c r="F580" s="126"/>
      <c r="O580" s="11"/>
    </row>
    <row r="581">
      <c r="A581" s="1"/>
      <c r="B581" s="1"/>
      <c r="C581" s="1"/>
      <c r="D581" s="1"/>
      <c r="E581" s="1"/>
      <c r="F581" s="126"/>
      <c r="O581" s="11"/>
    </row>
    <row r="582">
      <c r="A582" s="1"/>
      <c r="B582" s="1"/>
      <c r="C582" s="1"/>
      <c r="D582" s="1"/>
      <c r="E582" s="1"/>
      <c r="F582" s="126"/>
      <c r="O582" s="11"/>
    </row>
    <row r="583">
      <c r="A583" s="1"/>
      <c r="B583" s="1"/>
      <c r="C583" s="1"/>
      <c r="D583" s="1"/>
      <c r="E583" s="1"/>
      <c r="F583" s="126"/>
      <c r="O583" s="11"/>
    </row>
    <row r="584">
      <c r="A584" s="1"/>
      <c r="B584" s="1"/>
      <c r="C584" s="1"/>
      <c r="D584" s="1"/>
      <c r="E584" s="1"/>
      <c r="F584" s="126"/>
      <c r="O584" s="11"/>
    </row>
    <row r="585">
      <c r="A585" s="1"/>
      <c r="B585" s="1"/>
      <c r="C585" s="1"/>
      <c r="D585" s="1"/>
      <c r="E585" s="1"/>
      <c r="F585" s="126"/>
      <c r="O585" s="11"/>
    </row>
    <row r="586">
      <c r="A586" s="1"/>
      <c r="B586" s="1"/>
      <c r="C586" s="1"/>
      <c r="D586" s="1"/>
      <c r="E586" s="1"/>
      <c r="F586" s="126"/>
      <c r="O586" s="11"/>
    </row>
    <row r="587">
      <c r="A587" s="1"/>
      <c r="B587" s="1"/>
      <c r="C587" s="1"/>
      <c r="D587" s="1"/>
      <c r="E587" s="1"/>
      <c r="F587" s="126"/>
      <c r="O587" s="11"/>
    </row>
    <row r="588">
      <c r="A588" s="1"/>
      <c r="B588" s="1"/>
      <c r="C588" s="1"/>
      <c r="D588" s="1"/>
      <c r="E588" s="1"/>
      <c r="F588" s="126"/>
      <c r="O588" s="11"/>
    </row>
    <row r="589">
      <c r="A589" s="1"/>
      <c r="B589" s="1"/>
      <c r="C589" s="1"/>
      <c r="D589" s="1"/>
      <c r="E589" s="1"/>
      <c r="F589" s="126"/>
      <c r="O589" s="11"/>
    </row>
    <row r="590">
      <c r="A590" s="1"/>
      <c r="B590" s="1"/>
      <c r="C590" s="1"/>
      <c r="D590" s="1"/>
      <c r="E590" s="1"/>
      <c r="F590" s="126"/>
      <c r="O590" s="11"/>
    </row>
    <row r="591">
      <c r="A591" s="1"/>
      <c r="B591" s="1"/>
      <c r="C591" s="1"/>
      <c r="D591" s="1"/>
      <c r="E591" s="1"/>
      <c r="F591" s="126"/>
      <c r="O591" s="11"/>
    </row>
    <row r="592">
      <c r="A592" s="1"/>
      <c r="B592" s="1"/>
      <c r="C592" s="1"/>
      <c r="D592" s="1"/>
      <c r="E592" s="1"/>
      <c r="F592" s="126"/>
      <c r="O592" s="11"/>
    </row>
    <row r="593">
      <c r="A593" s="1"/>
      <c r="B593" s="1"/>
      <c r="C593" s="1"/>
      <c r="D593" s="1"/>
      <c r="E593" s="1"/>
      <c r="F593" s="126"/>
      <c r="O593" s="11"/>
    </row>
    <row r="594">
      <c r="A594" s="1"/>
      <c r="B594" s="1"/>
      <c r="C594" s="1"/>
      <c r="D594" s="1"/>
      <c r="E594" s="1"/>
      <c r="F594" s="126"/>
      <c r="O594" s="11"/>
    </row>
    <row r="595">
      <c r="A595" s="1"/>
      <c r="B595" s="1"/>
      <c r="C595" s="1"/>
      <c r="D595" s="1"/>
      <c r="E595" s="1"/>
      <c r="F595" s="126"/>
      <c r="O595" s="11"/>
    </row>
    <row r="596">
      <c r="A596" s="1"/>
      <c r="B596" s="1"/>
      <c r="C596" s="1"/>
      <c r="D596" s="1"/>
      <c r="E596" s="1"/>
      <c r="F596" s="126"/>
      <c r="O596" s="11"/>
    </row>
    <row r="597">
      <c r="A597" s="1"/>
      <c r="B597" s="1"/>
      <c r="C597" s="1"/>
      <c r="D597" s="1"/>
      <c r="E597" s="1"/>
      <c r="F597" s="126"/>
      <c r="O597" s="11"/>
    </row>
    <row r="598">
      <c r="A598" s="1"/>
      <c r="B598" s="1"/>
      <c r="C598" s="1"/>
      <c r="D598" s="1"/>
      <c r="E598" s="1"/>
      <c r="F598" s="126"/>
      <c r="O598" s="11"/>
    </row>
    <row r="599">
      <c r="A599" s="1"/>
      <c r="B599" s="1"/>
      <c r="C599" s="1"/>
      <c r="D599" s="1"/>
      <c r="E599" s="1"/>
      <c r="F599" s="126"/>
      <c r="O599" s="11"/>
    </row>
    <row r="600">
      <c r="A600" s="1"/>
      <c r="B600" s="1"/>
      <c r="C600" s="1"/>
      <c r="D600" s="1"/>
      <c r="E600" s="1"/>
      <c r="F600" s="126"/>
      <c r="O600" s="11"/>
    </row>
    <row r="601">
      <c r="A601" s="1"/>
      <c r="B601" s="1"/>
      <c r="C601" s="1"/>
      <c r="D601" s="1"/>
      <c r="E601" s="1"/>
      <c r="F601" s="126"/>
      <c r="O601" s="11"/>
    </row>
    <row r="602">
      <c r="A602" s="1"/>
      <c r="B602" s="1"/>
      <c r="C602" s="1"/>
      <c r="D602" s="1"/>
      <c r="E602" s="1"/>
      <c r="F602" s="126"/>
      <c r="O602" s="11"/>
    </row>
    <row r="603">
      <c r="A603" s="1"/>
      <c r="B603" s="1"/>
      <c r="C603" s="1"/>
      <c r="D603" s="1"/>
      <c r="E603" s="1"/>
      <c r="F603" s="126"/>
      <c r="O603" s="11"/>
    </row>
    <row r="604">
      <c r="A604" s="1"/>
      <c r="B604" s="1"/>
      <c r="C604" s="1"/>
      <c r="D604" s="1"/>
      <c r="E604" s="1"/>
      <c r="F604" s="126"/>
      <c r="O604" s="11"/>
    </row>
    <row r="605">
      <c r="A605" s="1"/>
      <c r="B605" s="1"/>
      <c r="C605" s="1"/>
      <c r="D605" s="1"/>
      <c r="E605" s="1"/>
      <c r="F605" s="126"/>
      <c r="O605" s="11"/>
    </row>
    <row r="606">
      <c r="A606" s="1"/>
      <c r="B606" s="1"/>
      <c r="C606" s="1"/>
      <c r="D606" s="1"/>
      <c r="E606" s="1"/>
      <c r="F606" s="126"/>
      <c r="O606" s="11"/>
    </row>
    <row r="607">
      <c r="A607" s="1"/>
      <c r="B607" s="1"/>
      <c r="C607" s="1"/>
      <c r="D607" s="1"/>
      <c r="E607" s="1"/>
      <c r="F607" s="126"/>
      <c r="O607" s="11"/>
    </row>
    <row r="608">
      <c r="A608" s="1"/>
      <c r="B608" s="1"/>
      <c r="C608" s="1"/>
      <c r="D608" s="1"/>
      <c r="E608" s="1"/>
      <c r="F608" s="126"/>
      <c r="O608" s="11"/>
    </row>
    <row r="609">
      <c r="A609" s="1"/>
      <c r="B609" s="1"/>
      <c r="C609" s="1"/>
      <c r="D609" s="1"/>
      <c r="E609" s="1"/>
      <c r="F609" s="126"/>
      <c r="O609" s="11"/>
    </row>
    <row r="610">
      <c r="A610" s="1"/>
      <c r="B610" s="1"/>
      <c r="C610" s="1"/>
      <c r="D610" s="1"/>
      <c r="E610" s="1"/>
      <c r="F610" s="126"/>
      <c r="O610" s="11"/>
    </row>
    <row r="611">
      <c r="A611" s="1"/>
      <c r="B611" s="1"/>
      <c r="C611" s="1"/>
      <c r="D611" s="1"/>
      <c r="E611" s="1"/>
      <c r="F611" s="126"/>
      <c r="O611" s="11"/>
    </row>
    <row r="612">
      <c r="A612" s="1"/>
      <c r="B612" s="1"/>
      <c r="C612" s="1"/>
      <c r="D612" s="1"/>
      <c r="E612" s="1"/>
      <c r="F612" s="126"/>
      <c r="O612" s="11"/>
    </row>
    <row r="613">
      <c r="A613" s="1"/>
      <c r="B613" s="1"/>
      <c r="C613" s="1"/>
      <c r="D613" s="1"/>
      <c r="E613" s="1"/>
      <c r="F613" s="126"/>
      <c r="O613" s="11"/>
    </row>
    <row r="614">
      <c r="A614" s="1"/>
      <c r="B614" s="1"/>
      <c r="C614" s="1"/>
      <c r="D614" s="1"/>
      <c r="E614" s="1"/>
      <c r="F614" s="126"/>
      <c r="O614" s="11"/>
    </row>
    <row r="615">
      <c r="A615" s="1"/>
      <c r="B615" s="1"/>
      <c r="C615" s="1"/>
      <c r="D615" s="1"/>
      <c r="E615" s="1"/>
      <c r="F615" s="126"/>
      <c r="O615" s="11"/>
    </row>
    <row r="616">
      <c r="A616" s="1"/>
      <c r="B616" s="1"/>
      <c r="C616" s="1"/>
      <c r="D616" s="1"/>
      <c r="E616" s="1"/>
      <c r="F616" s="126"/>
      <c r="O616" s="11"/>
    </row>
    <row r="617">
      <c r="A617" s="1"/>
      <c r="B617" s="1"/>
      <c r="C617" s="1"/>
      <c r="D617" s="1"/>
      <c r="E617" s="1"/>
      <c r="F617" s="126"/>
      <c r="O617" s="11"/>
    </row>
    <row r="618">
      <c r="A618" s="1"/>
      <c r="B618" s="1"/>
      <c r="C618" s="1"/>
      <c r="D618" s="1"/>
      <c r="E618" s="1"/>
      <c r="F618" s="126"/>
      <c r="O618" s="11"/>
    </row>
    <row r="619">
      <c r="A619" s="1"/>
      <c r="B619" s="1"/>
      <c r="C619" s="1"/>
      <c r="D619" s="1"/>
      <c r="E619" s="1"/>
      <c r="F619" s="126"/>
      <c r="O619" s="11"/>
    </row>
    <row r="620">
      <c r="A620" s="1"/>
      <c r="B620" s="1"/>
      <c r="C620" s="1"/>
      <c r="D620" s="1"/>
      <c r="E620" s="1"/>
      <c r="F620" s="126"/>
      <c r="O620" s="11"/>
    </row>
    <row r="621">
      <c r="A621" s="1"/>
      <c r="B621" s="1"/>
      <c r="C621" s="1"/>
      <c r="D621" s="1"/>
      <c r="E621" s="1"/>
      <c r="F621" s="126"/>
      <c r="O621" s="11"/>
    </row>
    <row r="622">
      <c r="A622" s="1"/>
      <c r="B622" s="1"/>
      <c r="C622" s="1"/>
      <c r="D622" s="1"/>
      <c r="E622" s="1"/>
      <c r="F622" s="126"/>
      <c r="O622" s="11"/>
    </row>
    <row r="623">
      <c r="A623" s="1"/>
      <c r="B623" s="1"/>
      <c r="C623" s="1"/>
      <c r="D623" s="1"/>
      <c r="E623" s="1"/>
      <c r="F623" s="126"/>
      <c r="O623" s="11"/>
    </row>
    <row r="624">
      <c r="A624" s="1"/>
      <c r="B624" s="1"/>
      <c r="C624" s="1"/>
      <c r="D624" s="1"/>
      <c r="E624" s="1"/>
      <c r="F624" s="126"/>
      <c r="O624" s="11"/>
    </row>
    <row r="625">
      <c r="A625" s="1"/>
      <c r="B625" s="1"/>
      <c r="C625" s="1"/>
      <c r="D625" s="1"/>
      <c r="E625" s="1"/>
      <c r="F625" s="126"/>
      <c r="O625" s="11"/>
    </row>
    <row r="626">
      <c r="A626" s="1"/>
      <c r="B626" s="1"/>
      <c r="C626" s="1"/>
      <c r="D626" s="1"/>
      <c r="E626" s="1"/>
      <c r="F626" s="126"/>
      <c r="O626" s="11"/>
    </row>
    <row r="627">
      <c r="A627" s="1"/>
      <c r="B627" s="1"/>
      <c r="C627" s="1"/>
      <c r="D627" s="1"/>
      <c r="E627" s="1"/>
      <c r="F627" s="126"/>
      <c r="O627" s="11"/>
    </row>
    <row r="628">
      <c r="A628" s="1"/>
      <c r="B628" s="1"/>
      <c r="C628" s="1"/>
      <c r="D628" s="1"/>
      <c r="E628" s="1"/>
      <c r="F628" s="126"/>
      <c r="O628" s="11"/>
    </row>
    <row r="629">
      <c r="A629" s="1"/>
      <c r="B629" s="1"/>
      <c r="C629" s="1"/>
      <c r="D629" s="1"/>
      <c r="E629" s="1"/>
      <c r="F629" s="126"/>
      <c r="O629" s="11"/>
    </row>
    <row r="630">
      <c r="A630" s="1"/>
      <c r="B630" s="1"/>
      <c r="C630" s="1"/>
      <c r="D630" s="1"/>
      <c r="E630" s="1"/>
      <c r="F630" s="126"/>
      <c r="O630" s="11"/>
    </row>
    <row r="631">
      <c r="A631" s="1"/>
      <c r="B631" s="1"/>
      <c r="C631" s="1"/>
      <c r="D631" s="1"/>
      <c r="E631" s="1"/>
      <c r="F631" s="126"/>
      <c r="O631" s="11"/>
    </row>
    <row r="632">
      <c r="A632" s="1"/>
      <c r="B632" s="1"/>
      <c r="C632" s="1"/>
      <c r="D632" s="1"/>
      <c r="E632" s="1"/>
      <c r="F632" s="126"/>
      <c r="O632" s="11"/>
    </row>
    <row r="633">
      <c r="A633" s="1"/>
      <c r="B633" s="1"/>
      <c r="C633" s="1"/>
      <c r="D633" s="1"/>
      <c r="E633" s="1"/>
      <c r="F633" s="126"/>
      <c r="O633" s="11"/>
    </row>
    <row r="634">
      <c r="A634" s="1"/>
      <c r="B634" s="1"/>
      <c r="C634" s="1"/>
      <c r="D634" s="1"/>
      <c r="E634" s="1"/>
      <c r="F634" s="126"/>
      <c r="O634" s="11"/>
    </row>
    <row r="635">
      <c r="A635" s="1"/>
      <c r="B635" s="1"/>
      <c r="C635" s="1"/>
      <c r="D635" s="1"/>
      <c r="E635" s="1"/>
      <c r="F635" s="126"/>
      <c r="O635" s="11"/>
    </row>
    <row r="636">
      <c r="A636" s="1"/>
      <c r="B636" s="1"/>
      <c r="C636" s="1"/>
      <c r="D636" s="1"/>
      <c r="E636" s="1"/>
      <c r="F636" s="126"/>
      <c r="O636" s="11"/>
    </row>
    <row r="637">
      <c r="A637" s="1"/>
      <c r="B637" s="1"/>
      <c r="C637" s="1"/>
      <c r="D637" s="1"/>
      <c r="E637" s="1"/>
      <c r="F637" s="126"/>
      <c r="O637" s="11"/>
    </row>
    <row r="638">
      <c r="A638" s="1"/>
      <c r="B638" s="1"/>
      <c r="C638" s="1"/>
      <c r="D638" s="1"/>
      <c r="E638" s="1"/>
      <c r="F638" s="126"/>
      <c r="O638" s="11"/>
    </row>
    <row r="639">
      <c r="A639" s="1"/>
      <c r="B639" s="1"/>
      <c r="C639" s="1"/>
      <c r="D639" s="1"/>
      <c r="E639" s="1"/>
      <c r="F639" s="126"/>
      <c r="O639" s="11"/>
    </row>
    <row r="640">
      <c r="A640" s="1"/>
      <c r="B640" s="1"/>
      <c r="C640" s="1"/>
      <c r="D640" s="1"/>
      <c r="E640" s="1"/>
      <c r="F640" s="126"/>
      <c r="O640" s="11"/>
    </row>
    <row r="641">
      <c r="A641" s="1"/>
      <c r="B641" s="1"/>
      <c r="C641" s="1"/>
      <c r="D641" s="1"/>
      <c r="E641" s="1"/>
      <c r="F641" s="126"/>
      <c r="O641" s="11"/>
    </row>
    <row r="642">
      <c r="A642" s="1"/>
      <c r="B642" s="1"/>
      <c r="C642" s="1"/>
      <c r="D642" s="1"/>
      <c r="E642" s="1"/>
      <c r="F642" s="126"/>
      <c r="O642" s="11"/>
    </row>
    <row r="643">
      <c r="A643" s="1"/>
      <c r="B643" s="1"/>
      <c r="C643" s="1"/>
      <c r="D643" s="1"/>
      <c r="E643" s="1"/>
      <c r="F643" s="126"/>
      <c r="O643" s="11"/>
    </row>
    <row r="644">
      <c r="A644" s="1"/>
      <c r="B644" s="1"/>
      <c r="C644" s="1"/>
      <c r="D644" s="1"/>
      <c r="E644" s="1"/>
      <c r="F644" s="126"/>
      <c r="O644" s="11"/>
    </row>
    <row r="645">
      <c r="A645" s="1"/>
      <c r="B645" s="1"/>
      <c r="C645" s="1"/>
      <c r="D645" s="1"/>
      <c r="E645" s="1"/>
      <c r="F645" s="126"/>
      <c r="O645" s="11"/>
    </row>
    <row r="646">
      <c r="A646" s="1"/>
      <c r="B646" s="1"/>
      <c r="C646" s="1"/>
      <c r="D646" s="1"/>
      <c r="E646" s="1"/>
      <c r="F646" s="126"/>
      <c r="O646" s="11"/>
    </row>
    <row r="647">
      <c r="A647" s="1"/>
      <c r="B647" s="1"/>
      <c r="C647" s="1"/>
      <c r="D647" s="1"/>
      <c r="E647" s="1"/>
      <c r="F647" s="126"/>
      <c r="O647" s="11"/>
    </row>
    <row r="648">
      <c r="A648" s="1"/>
      <c r="B648" s="1"/>
      <c r="C648" s="1"/>
      <c r="D648" s="1"/>
      <c r="E648" s="1"/>
      <c r="F648" s="126"/>
      <c r="O648" s="11"/>
    </row>
    <row r="649">
      <c r="A649" s="1"/>
      <c r="B649" s="1"/>
      <c r="C649" s="1"/>
      <c r="D649" s="1"/>
      <c r="E649" s="1"/>
      <c r="F649" s="126"/>
      <c r="O649" s="11"/>
    </row>
    <row r="650">
      <c r="A650" s="1"/>
      <c r="B650" s="1"/>
      <c r="C650" s="1"/>
      <c r="D650" s="1"/>
      <c r="E650" s="1"/>
      <c r="F650" s="126"/>
      <c r="O650" s="11"/>
    </row>
    <row r="651">
      <c r="A651" s="1"/>
      <c r="B651" s="1"/>
      <c r="C651" s="1"/>
      <c r="D651" s="1"/>
      <c r="E651" s="1"/>
      <c r="F651" s="126"/>
      <c r="O651" s="11"/>
    </row>
    <row r="652">
      <c r="A652" s="1"/>
      <c r="B652" s="1"/>
      <c r="C652" s="1"/>
      <c r="D652" s="1"/>
      <c r="E652" s="1"/>
      <c r="F652" s="126"/>
      <c r="O652" s="11"/>
    </row>
    <row r="653">
      <c r="A653" s="1"/>
      <c r="B653" s="1"/>
      <c r="C653" s="1"/>
      <c r="D653" s="1"/>
      <c r="E653" s="1"/>
      <c r="F653" s="126"/>
      <c r="O653" s="11"/>
    </row>
    <row r="654">
      <c r="A654" s="1"/>
      <c r="B654" s="1"/>
      <c r="C654" s="1"/>
      <c r="D654" s="1"/>
      <c r="E654" s="1"/>
      <c r="F654" s="126"/>
      <c r="O654" s="11"/>
    </row>
    <row r="655">
      <c r="A655" s="1"/>
      <c r="B655" s="1"/>
      <c r="C655" s="1"/>
      <c r="D655" s="1"/>
      <c r="E655" s="1"/>
      <c r="F655" s="126"/>
      <c r="O655" s="11"/>
    </row>
    <row r="656">
      <c r="A656" s="1"/>
      <c r="B656" s="1"/>
      <c r="C656" s="1"/>
      <c r="D656" s="1"/>
      <c r="E656" s="1"/>
      <c r="F656" s="126"/>
      <c r="O656" s="11"/>
    </row>
    <row r="657">
      <c r="A657" s="1"/>
      <c r="B657" s="1"/>
      <c r="C657" s="1"/>
      <c r="D657" s="1"/>
      <c r="E657" s="1"/>
      <c r="F657" s="126"/>
      <c r="O657" s="11"/>
    </row>
    <row r="658">
      <c r="A658" s="1"/>
      <c r="B658" s="1"/>
      <c r="C658" s="1"/>
      <c r="D658" s="1"/>
      <c r="E658" s="1"/>
      <c r="F658" s="126"/>
      <c r="O658" s="11"/>
    </row>
    <row r="659">
      <c r="A659" s="1"/>
      <c r="B659" s="1"/>
      <c r="C659" s="1"/>
      <c r="D659" s="1"/>
      <c r="E659" s="1"/>
      <c r="F659" s="126"/>
      <c r="O659" s="11"/>
    </row>
    <row r="660">
      <c r="A660" s="1"/>
      <c r="B660" s="1"/>
      <c r="C660" s="1"/>
      <c r="D660" s="1"/>
      <c r="E660" s="1"/>
      <c r="F660" s="126"/>
      <c r="O660" s="11"/>
    </row>
    <row r="661">
      <c r="A661" s="1"/>
      <c r="B661" s="1"/>
      <c r="C661" s="1"/>
      <c r="D661" s="1"/>
      <c r="E661" s="1"/>
      <c r="F661" s="126"/>
      <c r="O661" s="11"/>
    </row>
    <row r="662">
      <c r="A662" s="1"/>
      <c r="B662" s="1"/>
      <c r="C662" s="1"/>
      <c r="D662" s="1"/>
      <c r="E662" s="1"/>
      <c r="F662" s="126"/>
      <c r="O662" s="11"/>
    </row>
    <row r="663">
      <c r="A663" s="1"/>
      <c r="B663" s="1"/>
      <c r="C663" s="1"/>
      <c r="D663" s="1"/>
      <c r="E663" s="1"/>
      <c r="F663" s="126"/>
      <c r="O663" s="11"/>
    </row>
    <row r="664">
      <c r="A664" s="1"/>
      <c r="B664" s="1"/>
      <c r="C664" s="1"/>
      <c r="D664" s="1"/>
      <c r="E664" s="1"/>
      <c r="F664" s="126"/>
      <c r="O664" s="11"/>
    </row>
    <row r="665">
      <c r="A665" s="1"/>
      <c r="B665" s="1"/>
      <c r="C665" s="1"/>
      <c r="D665" s="1"/>
      <c r="E665" s="1"/>
      <c r="F665" s="126"/>
      <c r="O665" s="11"/>
    </row>
    <row r="666">
      <c r="A666" s="1"/>
      <c r="B666" s="1"/>
      <c r="C666" s="1"/>
      <c r="D666" s="1"/>
      <c r="E666" s="1"/>
      <c r="F666" s="126"/>
      <c r="O666" s="11"/>
    </row>
    <row r="667">
      <c r="A667" s="1"/>
      <c r="B667" s="1"/>
      <c r="C667" s="1"/>
      <c r="D667" s="1"/>
      <c r="E667" s="1"/>
      <c r="F667" s="126"/>
      <c r="O667" s="11"/>
    </row>
    <row r="668">
      <c r="A668" s="1"/>
      <c r="B668" s="1"/>
      <c r="C668" s="1"/>
      <c r="D668" s="1"/>
      <c r="E668" s="1"/>
      <c r="F668" s="126"/>
      <c r="O668" s="11"/>
    </row>
    <row r="669">
      <c r="A669" s="1"/>
      <c r="B669" s="1"/>
      <c r="C669" s="1"/>
      <c r="D669" s="1"/>
      <c r="E669" s="1"/>
      <c r="F669" s="126"/>
      <c r="O669" s="11"/>
    </row>
    <row r="670">
      <c r="A670" s="1"/>
      <c r="B670" s="1"/>
      <c r="C670" s="1"/>
      <c r="D670" s="1"/>
      <c r="E670" s="1"/>
      <c r="F670" s="126"/>
      <c r="O670" s="11"/>
    </row>
    <row r="671">
      <c r="A671" s="1"/>
      <c r="B671" s="1"/>
      <c r="C671" s="1"/>
      <c r="D671" s="1"/>
      <c r="E671" s="1"/>
      <c r="F671" s="126"/>
      <c r="O671" s="11"/>
    </row>
    <row r="672">
      <c r="A672" s="1"/>
      <c r="B672" s="1"/>
      <c r="C672" s="1"/>
      <c r="D672" s="1"/>
      <c r="E672" s="1"/>
      <c r="F672" s="126"/>
      <c r="O672" s="11"/>
    </row>
    <row r="673">
      <c r="A673" s="1"/>
      <c r="B673" s="1"/>
      <c r="C673" s="1"/>
      <c r="D673" s="1"/>
      <c r="E673" s="1"/>
      <c r="F673" s="126"/>
      <c r="O673" s="11"/>
    </row>
    <row r="674">
      <c r="A674" s="1"/>
      <c r="B674" s="1"/>
      <c r="C674" s="1"/>
      <c r="D674" s="1"/>
      <c r="E674" s="1"/>
      <c r="F674" s="126"/>
      <c r="O674" s="11"/>
    </row>
    <row r="675">
      <c r="A675" s="1"/>
      <c r="B675" s="1"/>
      <c r="C675" s="1"/>
      <c r="D675" s="1"/>
      <c r="E675" s="1"/>
      <c r="F675" s="126"/>
      <c r="O675" s="11"/>
    </row>
    <row r="676">
      <c r="A676" s="1"/>
      <c r="B676" s="1"/>
      <c r="C676" s="1"/>
      <c r="D676" s="1"/>
      <c r="E676" s="1"/>
      <c r="F676" s="126"/>
      <c r="O676" s="11"/>
    </row>
    <row r="677">
      <c r="A677" s="1"/>
      <c r="B677" s="1"/>
      <c r="C677" s="1"/>
      <c r="D677" s="1"/>
      <c r="E677" s="1"/>
      <c r="F677" s="126"/>
      <c r="O677" s="11"/>
    </row>
    <row r="678">
      <c r="A678" s="1"/>
      <c r="B678" s="1"/>
      <c r="C678" s="1"/>
      <c r="D678" s="1"/>
      <c r="E678" s="1"/>
      <c r="F678" s="126"/>
      <c r="O678" s="11"/>
    </row>
    <row r="679">
      <c r="A679" s="1"/>
      <c r="B679" s="1"/>
      <c r="C679" s="1"/>
      <c r="D679" s="1"/>
      <c r="E679" s="1"/>
      <c r="F679" s="126"/>
      <c r="O679" s="11"/>
    </row>
    <row r="680">
      <c r="A680" s="1"/>
      <c r="B680" s="1"/>
      <c r="C680" s="1"/>
      <c r="D680" s="1"/>
      <c r="E680" s="1"/>
      <c r="F680" s="126"/>
      <c r="O680" s="11"/>
    </row>
    <row r="681">
      <c r="A681" s="1"/>
      <c r="B681" s="1"/>
      <c r="C681" s="1"/>
      <c r="D681" s="1"/>
      <c r="E681" s="1"/>
      <c r="F681" s="126"/>
      <c r="O681" s="11"/>
    </row>
    <row r="682">
      <c r="A682" s="1"/>
      <c r="B682" s="1"/>
      <c r="C682" s="1"/>
      <c r="D682" s="1"/>
      <c r="E682" s="1"/>
      <c r="F682" s="126"/>
      <c r="O682" s="11"/>
    </row>
    <row r="683">
      <c r="A683" s="1"/>
      <c r="B683" s="1"/>
      <c r="C683" s="1"/>
      <c r="D683" s="1"/>
      <c r="E683" s="1"/>
      <c r="F683" s="126"/>
      <c r="O683" s="11"/>
    </row>
    <row r="684">
      <c r="A684" s="1"/>
      <c r="B684" s="1"/>
      <c r="C684" s="1"/>
      <c r="D684" s="1"/>
      <c r="E684" s="1"/>
      <c r="F684" s="126"/>
      <c r="O684" s="11"/>
    </row>
    <row r="685">
      <c r="A685" s="1"/>
      <c r="B685" s="1"/>
      <c r="C685" s="1"/>
      <c r="D685" s="1"/>
      <c r="E685" s="1"/>
      <c r="F685" s="126"/>
      <c r="O685" s="11"/>
    </row>
    <row r="686">
      <c r="A686" s="1"/>
      <c r="B686" s="1"/>
      <c r="C686" s="1"/>
      <c r="D686" s="1"/>
      <c r="E686" s="1"/>
      <c r="F686" s="126"/>
      <c r="O686" s="11"/>
    </row>
    <row r="687">
      <c r="A687" s="1"/>
      <c r="B687" s="1"/>
      <c r="C687" s="1"/>
      <c r="D687" s="1"/>
      <c r="E687" s="1"/>
      <c r="F687" s="126"/>
      <c r="O687" s="11"/>
    </row>
    <row r="688">
      <c r="A688" s="1"/>
      <c r="B688" s="1"/>
      <c r="C688" s="1"/>
      <c r="D688" s="1"/>
      <c r="E688" s="1"/>
      <c r="F688" s="126"/>
      <c r="O688" s="11"/>
    </row>
    <row r="689">
      <c r="A689" s="1"/>
      <c r="B689" s="1"/>
      <c r="C689" s="1"/>
      <c r="D689" s="1"/>
      <c r="E689" s="1"/>
      <c r="F689" s="126"/>
      <c r="O689" s="11"/>
    </row>
    <row r="690">
      <c r="A690" s="1"/>
      <c r="B690" s="1"/>
      <c r="C690" s="1"/>
      <c r="D690" s="1"/>
      <c r="E690" s="1"/>
      <c r="F690" s="126"/>
      <c r="O690" s="11"/>
    </row>
    <row r="691">
      <c r="A691" s="1"/>
      <c r="B691" s="1"/>
      <c r="C691" s="1"/>
      <c r="D691" s="1"/>
      <c r="E691" s="1"/>
      <c r="F691" s="126"/>
      <c r="O691" s="11"/>
    </row>
    <row r="692">
      <c r="A692" s="1"/>
      <c r="B692" s="1"/>
      <c r="C692" s="1"/>
      <c r="D692" s="1"/>
      <c r="E692" s="1"/>
      <c r="F692" s="126"/>
      <c r="O692" s="11"/>
    </row>
    <row r="693">
      <c r="A693" s="1"/>
      <c r="B693" s="1"/>
      <c r="C693" s="1"/>
      <c r="D693" s="1"/>
      <c r="E693" s="1"/>
      <c r="F693" s="126"/>
      <c r="O693" s="11"/>
    </row>
    <row r="694">
      <c r="A694" s="1"/>
      <c r="B694" s="1"/>
      <c r="C694" s="1"/>
      <c r="D694" s="1"/>
      <c r="E694" s="1"/>
      <c r="F694" s="126"/>
      <c r="O694" s="11"/>
    </row>
    <row r="695">
      <c r="A695" s="1"/>
      <c r="B695" s="1"/>
      <c r="C695" s="1"/>
      <c r="D695" s="1"/>
      <c r="E695" s="1"/>
      <c r="F695" s="126"/>
      <c r="O695" s="11"/>
    </row>
    <row r="696">
      <c r="A696" s="1"/>
      <c r="B696" s="1"/>
      <c r="C696" s="1"/>
      <c r="D696" s="1"/>
      <c r="E696" s="1"/>
      <c r="F696" s="126"/>
      <c r="O696" s="11"/>
    </row>
    <row r="697">
      <c r="A697" s="1"/>
      <c r="B697" s="1"/>
      <c r="C697" s="1"/>
      <c r="D697" s="1"/>
      <c r="E697" s="1"/>
      <c r="F697" s="126"/>
      <c r="O697" s="11"/>
    </row>
    <row r="698">
      <c r="A698" s="1"/>
      <c r="B698" s="1"/>
      <c r="C698" s="1"/>
      <c r="D698" s="1"/>
      <c r="E698" s="1"/>
      <c r="F698" s="126"/>
      <c r="O698" s="11"/>
    </row>
    <row r="699">
      <c r="A699" s="1"/>
      <c r="B699" s="1"/>
      <c r="C699" s="1"/>
      <c r="D699" s="1"/>
      <c r="E699" s="1"/>
      <c r="F699" s="126"/>
      <c r="O699" s="11"/>
    </row>
    <row r="700">
      <c r="A700" s="1"/>
      <c r="B700" s="1"/>
      <c r="C700" s="1"/>
      <c r="D700" s="1"/>
      <c r="E700" s="1"/>
      <c r="F700" s="126"/>
      <c r="O700" s="11"/>
    </row>
    <row r="701">
      <c r="A701" s="1"/>
      <c r="B701" s="1"/>
      <c r="C701" s="1"/>
      <c r="D701" s="1"/>
      <c r="E701" s="1"/>
      <c r="F701" s="126"/>
      <c r="O701" s="11"/>
    </row>
    <row r="702">
      <c r="A702" s="1"/>
      <c r="B702" s="1"/>
      <c r="C702" s="1"/>
      <c r="D702" s="1"/>
      <c r="E702" s="1"/>
      <c r="F702" s="126"/>
      <c r="O702" s="11"/>
    </row>
    <row r="703">
      <c r="A703" s="1"/>
      <c r="B703" s="1"/>
      <c r="C703" s="1"/>
      <c r="D703" s="1"/>
      <c r="E703" s="1"/>
      <c r="F703" s="126"/>
      <c r="O703" s="11"/>
    </row>
    <row r="704">
      <c r="A704" s="1"/>
      <c r="B704" s="1"/>
      <c r="C704" s="1"/>
      <c r="D704" s="1"/>
      <c r="E704" s="1"/>
      <c r="F704" s="126"/>
      <c r="O704" s="11"/>
    </row>
    <row r="705">
      <c r="A705" s="1"/>
      <c r="B705" s="1"/>
      <c r="C705" s="1"/>
      <c r="D705" s="1"/>
      <c r="E705" s="1"/>
      <c r="F705" s="126"/>
      <c r="O705" s="11"/>
    </row>
    <row r="706">
      <c r="A706" s="1"/>
      <c r="B706" s="1"/>
      <c r="C706" s="1"/>
      <c r="D706" s="1"/>
      <c r="E706" s="1"/>
      <c r="F706" s="126"/>
      <c r="O706" s="11"/>
    </row>
    <row r="707">
      <c r="A707" s="1"/>
      <c r="B707" s="1"/>
      <c r="C707" s="1"/>
      <c r="D707" s="1"/>
      <c r="E707" s="1"/>
      <c r="F707" s="126"/>
      <c r="O707" s="11"/>
    </row>
    <row r="708">
      <c r="A708" s="1"/>
      <c r="B708" s="1"/>
      <c r="C708" s="1"/>
      <c r="D708" s="1"/>
      <c r="E708" s="1"/>
      <c r="F708" s="126"/>
      <c r="O708" s="11"/>
    </row>
    <row r="709">
      <c r="A709" s="1"/>
      <c r="B709" s="1"/>
      <c r="C709" s="1"/>
      <c r="D709" s="1"/>
      <c r="E709" s="1"/>
      <c r="F709" s="126"/>
      <c r="O709" s="11"/>
    </row>
    <row r="710">
      <c r="A710" s="1"/>
      <c r="B710" s="1"/>
      <c r="C710" s="1"/>
      <c r="D710" s="1"/>
      <c r="E710" s="1"/>
      <c r="F710" s="126"/>
      <c r="O710" s="11"/>
    </row>
    <row r="711">
      <c r="A711" s="1"/>
      <c r="B711" s="1"/>
      <c r="C711" s="1"/>
      <c r="D711" s="1"/>
      <c r="E711" s="1"/>
      <c r="F711" s="126"/>
      <c r="O711" s="11"/>
    </row>
    <row r="712">
      <c r="A712" s="1"/>
      <c r="B712" s="1"/>
      <c r="C712" s="1"/>
      <c r="D712" s="1"/>
      <c r="E712" s="1"/>
      <c r="F712" s="126"/>
      <c r="O712" s="11"/>
    </row>
    <row r="713">
      <c r="A713" s="1"/>
      <c r="B713" s="1"/>
      <c r="C713" s="1"/>
      <c r="D713" s="1"/>
      <c r="E713" s="1"/>
      <c r="F713" s="126"/>
      <c r="O713" s="11"/>
    </row>
    <row r="714">
      <c r="A714" s="1"/>
      <c r="B714" s="1"/>
      <c r="C714" s="1"/>
      <c r="D714" s="1"/>
      <c r="E714" s="1"/>
      <c r="F714" s="126"/>
      <c r="O714" s="11"/>
    </row>
    <row r="715">
      <c r="A715" s="1"/>
      <c r="B715" s="1"/>
      <c r="C715" s="1"/>
      <c r="D715" s="1"/>
      <c r="E715" s="1"/>
      <c r="F715" s="126"/>
      <c r="O715" s="11"/>
    </row>
    <row r="716">
      <c r="A716" s="1"/>
      <c r="B716" s="1"/>
      <c r="C716" s="1"/>
      <c r="D716" s="1"/>
      <c r="E716" s="1"/>
      <c r="F716" s="126"/>
      <c r="O716" s="11"/>
    </row>
    <row r="717">
      <c r="A717" s="1"/>
      <c r="B717" s="1"/>
      <c r="C717" s="1"/>
      <c r="D717" s="1"/>
      <c r="E717" s="1"/>
      <c r="F717" s="126"/>
      <c r="O717" s="11"/>
    </row>
    <row r="718">
      <c r="A718" s="1"/>
      <c r="B718" s="1"/>
      <c r="C718" s="1"/>
      <c r="D718" s="1"/>
      <c r="E718" s="1"/>
      <c r="F718" s="126"/>
      <c r="O718" s="11"/>
    </row>
    <row r="719">
      <c r="A719" s="1"/>
      <c r="B719" s="1"/>
      <c r="C719" s="1"/>
      <c r="D719" s="1"/>
      <c r="E719" s="1"/>
      <c r="F719" s="126"/>
      <c r="O719" s="11"/>
    </row>
    <row r="720">
      <c r="A720" s="1"/>
      <c r="B720" s="1"/>
      <c r="C720" s="1"/>
      <c r="D720" s="1"/>
      <c r="E720" s="1"/>
      <c r="F720" s="126"/>
      <c r="O720" s="11"/>
    </row>
    <row r="721">
      <c r="A721" s="1"/>
      <c r="B721" s="1"/>
      <c r="C721" s="1"/>
      <c r="D721" s="1"/>
      <c r="E721" s="1"/>
      <c r="F721" s="126"/>
      <c r="O721" s="11"/>
    </row>
    <row r="722">
      <c r="A722" s="1"/>
      <c r="B722" s="1"/>
      <c r="C722" s="1"/>
      <c r="D722" s="1"/>
      <c r="E722" s="1"/>
      <c r="F722" s="126"/>
      <c r="O722" s="11"/>
    </row>
    <row r="723">
      <c r="A723" s="1"/>
      <c r="B723" s="1"/>
      <c r="C723" s="1"/>
      <c r="D723" s="1"/>
      <c r="E723" s="1"/>
      <c r="F723" s="126"/>
      <c r="O723" s="11"/>
    </row>
    <row r="724">
      <c r="A724" s="1"/>
      <c r="B724" s="1"/>
      <c r="C724" s="1"/>
      <c r="D724" s="1"/>
      <c r="E724" s="1"/>
      <c r="F724" s="126"/>
      <c r="O724" s="11"/>
    </row>
    <row r="725">
      <c r="A725" s="1"/>
      <c r="B725" s="1"/>
      <c r="C725" s="1"/>
      <c r="D725" s="1"/>
      <c r="E725" s="1"/>
      <c r="F725" s="126"/>
      <c r="O725" s="11"/>
    </row>
    <row r="726">
      <c r="A726" s="1"/>
      <c r="B726" s="1"/>
      <c r="C726" s="1"/>
      <c r="D726" s="1"/>
      <c r="E726" s="1"/>
      <c r="F726" s="126"/>
      <c r="O726" s="11"/>
    </row>
    <row r="727">
      <c r="A727" s="1"/>
      <c r="B727" s="1"/>
      <c r="C727" s="1"/>
      <c r="D727" s="1"/>
      <c r="E727" s="1"/>
      <c r="F727" s="126"/>
      <c r="O727" s="11"/>
    </row>
    <row r="728">
      <c r="A728" s="1"/>
      <c r="B728" s="1"/>
      <c r="C728" s="1"/>
      <c r="D728" s="1"/>
      <c r="E728" s="1"/>
      <c r="F728" s="126"/>
      <c r="O728" s="11"/>
    </row>
    <row r="729">
      <c r="A729" s="1"/>
      <c r="B729" s="1"/>
      <c r="C729" s="1"/>
      <c r="D729" s="1"/>
      <c r="E729" s="1"/>
      <c r="F729" s="126"/>
      <c r="O729" s="11"/>
    </row>
    <row r="730">
      <c r="A730" s="1"/>
      <c r="B730" s="1"/>
      <c r="C730" s="1"/>
      <c r="D730" s="1"/>
      <c r="E730" s="1"/>
      <c r="F730" s="126"/>
      <c r="O730" s="11"/>
    </row>
    <row r="731">
      <c r="A731" s="1"/>
      <c r="B731" s="1"/>
      <c r="C731" s="1"/>
      <c r="D731" s="1"/>
      <c r="E731" s="1"/>
      <c r="F731" s="126"/>
      <c r="O731" s="11"/>
    </row>
    <row r="732">
      <c r="A732" s="1"/>
      <c r="B732" s="1"/>
      <c r="C732" s="1"/>
      <c r="D732" s="1"/>
      <c r="E732" s="1"/>
      <c r="F732" s="126"/>
      <c r="O732" s="11"/>
    </row>
    <row r="733">
      <c r="A733" s="1"/>
      <c r="B733" s="1"/>
      <c r="C733" s="1"/>
      <c r="D733" s="1"/>
      <c r="E733" s="1"/>
      <c r="F733" s="126"/>
      <c r="O733" s="11"/>
    </row>
    <row r="734">
      <c r="A734" s="1"/>
      <c r="B734" s="1"/>
      <c r="C734" s="1"/>
      <c r="D734" s="1"/>
      <c r="E734" s="1"/>
      <c r="F734" s="126"/>
      <c r="O734" s="11"/>
    </row>
    <row r="735">
      <c r="A735" s="1"/>
      <c r="B735" s="1"/>
      <c r="C735" s="1"/>
      <c r="D735" s="1"/>
      <c r="E735" s="1"/>
      <c r="F735" s="126"/>
      <c r="O735" s="11"/>
    </row>
    <row r="736">
      <c r="A736" s="1"/>
      <c r="B736" s="1"/>
      <c r="C736" s="1"/>
      <c r="D736" s="1"/>
      <c r="E736" s="1"/>
      <c r="F736" s="126"/>
      <c r="O736" s="11"/>
    </row>
    <row r="737">
      <c r="A737" s="1"/>
      <c r="B737" s="1"/>
      <c r="C737" s="1"/>
      <c r="D737" s="1"/>
      <c r="E737" s="1"/>
      <c r="F737" s="126"/>
      <c r="O737" s="11"/>
    </row>
    <row r="738">
      <c r="A738" s="1"/>
      <c r="B738" s="1"/>
      <c r="C738" s="1"/>
      <c r="D738" s="1"/>
      <c r="E738" s="1"/>
      <c r="F738" s="126"/>
      <c r="O738" s="11"/>
    </row>
    <row r="739">
      <c r="A739" s="1"/>
      <c r="B739" s="1"/>
      <c r="C739" s="1"/>
      <c r="D739" s="1"/>
      <c r="E739" s="1"/>
      <c r="F739" s="126"/>
      <c r="O739" s="11"/>
    </row>
    <row r="740">
      <c r="A740" s="1"/>
      <c r="B740" s="1"/>
      <c r="C740" s="1"/>
      <c r="D740" s="1"/>
      <c r="E740" s="1"/>
      <c r="F740" s="126"/>
      <c r="O740" s="11"/>
    </row>
    <row r="741">
      <c r="A741" s="1"/>
      <c r="B741" s="1"/>
      <c r="C741" s="1"/>
      <c r="D741" s="1"/>
      <c r="E741" s="1"/>
      <c r="F741" s="126"/>
      <c r="O741" s="11"/>
    </row>
    <row r="742">
      <c r="A742" s="1"/>
      <c r="B742" s="1"/>
      <c r="C742" s="1"/>
      <c r="D742" s="1"/>
      <c r="E742" s="1"/>
      <c r="F742" s="126"/>
      <c r="O742" s="11"/>
    </row>
    <row r="743">
      <c r="A743" s="1"/>
      <c r="B743" s="1"/>
      <c r="C743" s="1"/>
      <c r="D743" s="1"/>
      <c r="E743" s="1"/>
      <c r="F743" s="126"/>
      <c r="O743" s="11"/>
    </row>
    <row r="744">
      <c r="A744" s="1"/>
      <c r="B744" s="1"/>
      <c r="C744" s="1"/>
      <c r="D744" s="1"/>
      <c r="E744" s="1"/>
      <c r="F744" s="126"/>
      <c r="O744" s="11"/>
    </row>
    <row r="745">
      <c r="A745" s="1"/>
      <c r="B745" s="1"/>
      <c r="C745" s="1"/>
      <c r="D745" s="1"/>
      <c r="E745" s="1"/>
      <c r="F745" s="126"/>
      <c r="O745" s="11"/>
    </row>
    <row r="746">
      <c r="A746" s="1"/>
      <c r="B746" s="1"/>
      <c r="C746" s="1"/>
      <c r="D746" s="1"/>
      <c r="E746" s="1"/>
      <c r="F746" s="126"/>
      <c r="O746" s="11"/>
    </row>
    <row r="747">
      <c r="A747" s="1"/>
      <c r="B747" s="1"/>
      <c r="C747" s="1"/>
      <c r="D747" s="1"/>
      <c r="E747" s="1"/>
      <c r="F747" s="126"/>
      <c r="O747" s="11"/>
    </row>
    <row r="748">
      <c r="A748" s="1"/>
      <c r="B748" s="1"/>
      <c r="C748" s="1"/>
      <c r="D748" s="1"/>
      <c r="E748" s="1"/>
      <c r="F748" s="126"/>
      <c r="O748" s="11"/>
    </row>
    <row r="749">
      <c r="A749" s="1"/>
      <c r="B749" s="1"/>
      <c r="C749" s="1"/>
      <c r="D749" s="1"/>
      <c r="E749" s="1"/>
      <c r="F749" s="126"/>
      <c r="O749" s="11"/>
    </row>
    <row r="750">
      <c r="A750" s="1"/>
      <c r="B750" s="1"/>
      <c r="C750" s="1"/>
      <c r="D750" s="1"/>
      <c r="E750" s="1"/>
      <c r="F750" s="126"/>
      <c r="O750" s="11"/>
    </row>
    <row r="751">
      <c r="A751" s="1"/>
      <c r="B751" s="1"/>
      <c r="C751" s="1"/>
      <c r="D751" s="1"/>
      <c r="E751" s="1"/>
      <c r="F751" s="126"/>
      <c r="O751" s="11"/>
    </row>
    <row r="752">
      <c r="A752" s="1"/>
      <c r="B752" s="1"/>
      <c r="C752" s="1"/>
      <c r="D752" s="1"/>
      <c r="E752" s="1"/>
      <c r="F752" s="126"/>
      <c r="O752" s="11"/>
    </row>
    <row r="753">
      <c r="A753" s="1"/>
      <c r="B753" s="1"/>
      <c r="C753" s="1"/>
      <c r="D753" s="1"/>
      <c r="E753" s="1"/>
      <c r="F753" s="126"/>
      <c r="O753" s="11"/>
    </row>
    <row r="754">
      <c r="A754" s="1"/>
      <c r="B754" s="1"/>
      <c r="C754" s="1"/>
      <c r="D754" s="1"/>
      <c r="E754" s="1"/>
      <c r="F754" s="126"/>
      <c r="O754" s="11"/>
    </row>
    <row r="755">
      <c r="A755" s="1"/>
      <c r="B755" s="1"/>
      <c r="C755" s="1"/>
      <c r="D755" s="1"/>
      <c r="E755" s="1"/>
      <c r="F755" s="126"/>
      <c r="O755" s="11"/>
    </row>
    <row r="756">
      <c r="A756" s="1"/>
      <c r="B756" s="1"/>
      <c r="C756" s="1"/>
      <c r="D756" s="1"/>
      <c r="E756" s="1"/>
      <c r="F756" s="126"/>
      <c r="O756" s="11"/>
    </row>
    <row r="757">
      <c r="A757" s="1"/>
      <c r="B757" s="1"/>
      <c r="C757" s="1"/>
      <c r="D757" s="1"/>
      <c r="E757" s="1"/>
      <c r="F757" s="126"/>
      <c r="O757" s="11"/>
    </row>
    <row r="758">
      <c r="A758" s="1"/>
      <c r="B758" s="1"/>
      <c r="C758" s="1"/>
      <c r="D758" s="1"/>
      <c r="E758" s="1"/>
      <c r="F758" s="126"/>
      <c r="O758" s="11"/>
    </row>
    <row r="759">
      <c r="A759" s="1"/>
      <c r="B759" s="1"/>
      <c r="C759" s="1"/>
      <c r="D759" s="1"/>
      <c r="E759" s="1"/>
      <c r="F759" s="126"/>
      <c r="O759" s="11"/>
    </row>
    <row r="760">
      <c r="A760" s="1"/>
      <c r="B760" s="1"/>
      <c r="C760" s="1"/>
      <c r="D760" s="1"/>
      <c r="E760" s="1"/>
      <c r="F760" s="126"/>
      <c r="O760" s="11"/>
    </row>
    <row r="761">
      <c r="A761" s="1"/>
      <c r="B761" s="1"/>
      <c r="C761" s="1"/>
      <c r="D761" s="1"/>
      <c r="E761" s="1"/>
      <c r="F761" s="126"/>
      <c r="O761" s="11"/>
    </row>
    <row r="762">
      <c r="A762" s="1"/>
      <c r="B762" s="1"/>
      <c r="C762" s="1"/>
      <c r="D762" s="1"/>
      <c r="E762" s="1"/>
      <c r="F762" s="126"/>
      <c r="O762" s="11"/>
    </row>
    <row r="763">
      <c r="A763" s="1"/>
      <c r="B763" s="1"/>
      <c r="C763" s="1"/>
      <c r="D763" s="1"/>
      <c r="E763" s="1"/>
      <c r="F763" s="126"/>
      <c r="O763" s="11"/>
    </row>
    <row r="764">
      <c r="A764" s="1"/>
      <c r="B764" s="1"/>
      <c r="C764" s="1"/>
      <c r="D764" s="1"/>
      <c r="E764" s="1"/>
      <c r="F764" s="126"/>
      <c r="O764" s="11"/>
    </row>
    <row r="765">
      <c r="A765" s="1"/>
      <c r="B765" s="1"/>
      <c r="C765" s="1"/>
      <c r="D765" s="1"/>
      <c r="E765" s="1"/>
      <c r="F765" s="126"/>
      <c r="O765" s="11"/>
    </row>
    <row r="766">
      <c r="A766" s="1"/>
      <c r="B766" s="1"/>
      <c r="C766" s="1"/>
      <c r="D766" s="1"/>
      <c r="E766" s="1"/>
      <c r="F766" s="126"/>
      <c r="O766" s="11"/>
    </row>
    <row r="767">
      <c r="A767" s="1"/>
      <c r="B767" s="1"/>
      <c r="C767" s="1"/>
      <c r="D767" s="1"/>
      <c r="E767" s="1"/>
      <c r="F767" s="126"/>
      <c r="O767" s="11"/>
    </row>
    <row r="768">
      <c r="A768" s="1"/>
      <c r="B768" s="1"/>
      <c r="C768" s="1"/>
      <c r="D768" s="1"/>
      <c r="E768" s="1"/>
      <c r="F768" s="126"/>
      <c r="O768" s="11"/>
    </row>
    <row r="769">
      <c r="A769" s="1"/>
      <c r="B769" s="1"/>
      <c r="C769" s="1"/>
      <c r="D769" s="1"/>
      <c r="E769" s="1"/>
      <c r="F769" s="126"/>
      <c r="O769" s="11"/>
    </row>
    <row r="770">
      <c r="A770" s="1"/>
      <c r="B770" s="1"/>
      <c r="C770" s="1"/>
      <c r="D770" s="1"/>
      <c r="E770" s="1"/>
      <c r="F770" s="126"/>
      <c r="O770" s="11"/>
    </row>
    <row r="771">
      <c r="A771" s="1"/>
      <c r="B771" s="1"/>
      <c r="C771" s="1"/>
      <c r="D771" s="1"/>
      <c r="E771" s="1"/>
      <c r="F771" s="126"/>
      <c r="O771" s="11"/>
    </row>
    <row r="772">
      <c r="A772" s="1"/>
      <c r="B772" s="1"/>
      <c r="C772" s="1"/>
      <c r="D772" s="1"/>
      <c r="E772" s="1"/>
      <c r="F772" s="126"/>
      <c r="O772" s="11"/>
    </row>
    <row r="773">
      <c r="A773" s="1"/>
      <c r="B773" s="1"/>
      <c r="C773" s="1"/>
      <c r="D773" s="1"/>
      <c r="E773" s="1"/>
      <c r="F773" s="126"/>
      <c r="O773" s="11"/>
    </row>
    <row r="774">
      <c r="A774" s="1"/>
      <c r="B774" s="1"/>
      <c r="C774" s="1"/>
      <c r="D774" s="1"/>
      <c r="E774" s="1"/>
      <c r="F774" s="126"/>
      <c r="O774" s="11"/>
    </row>
    <row r="775">
      <c r="A775" s="1"/>
      <c r="B775" s="1"/>
      <c r="C775" s="1"/>
      <c r="D775" s="1"/>
      <c r="E775" s="1"/>
      <c r="F775" s="126"/>
      <c r="O775" s="11"/>
    </row>
    <row r="776">
      <c r="A776" s="1"/>
      <c r="B776" s="1"/>
      <c r="C776" s="1"/>
      <c r="D776" s="1"/>
      <c r="E776" s="1"/>
      <c r="F776" s="126"/>
      <c r="O776" s="11"/>
    </row>
    <row r="777">
      <c r="A777" s="1"/>
      <c r="B777" s="1"/>
      <c r="C777" s="1"/>
      <c r="D777" s="1"/>
      <c r="E777" s="1"/>
      <c r="F777" s="126"/>
      <c r="O777" s="11"/>
    </row>
    <row r="778">
      <c r="A778" s="1"/>
      <c r="B778" s="1"/>
      <c r="C778" s="1"/>
      <c r="D778" s="1"/>
      <c r="E778" s="1"/>
      <c r="F778" s="126"/>
      <c r="O778" s="11"/>
    </row>
    <row r="779">
      <c r="A779" s="1"/>
      <c r="B779" s="1"/>
      <c r="C779" s="1"/>
      <c r="D779" s="1"/>
      <c r="E779" s="1"/>
      <c r="F779" s="126"/>
      <c r="O779" s="11"/>
    </row>
    <row r="780">
      <c r="A780" s="1"/>
      <c r="B780" s="1"/>
      <c r="C780" s="1"/>
      <c r="D780" s="1"/>
      <c r="E780" s="1"/>
      <c r="F780" s="126"/>
      <c r="O780" s="11"/>
    </row>
    <row r="781">
      <c r="A781" s="1"/>
      <c r="B781" s="1"/>
      <c r="C781" s="1"/>
      <c r="D781" s="1"/>
      <c r="E781" s="1"/>
      <c r="F781" s="126"/>
      <c r="O781" s="11"/>
    </row>
    <row r="782">
      <c r="A782" s="1"/>
      <c r="B782" s="1"/>
      <c r="C782" s="1"/>
      <c r="D782" s="1"/>
      <c r="E782" s="1"/>
      <c r="F782" s="126"/>
      <c r="O782" s="11"/>
    </row>
    <row r="783">
      <c r="A783" s="1"/>
      <c r="B783" s="1"/>
      <c r="C783" s="1"/>
      <c r="D783" s="1"/>
      <c r="E783" s="1"/>
      <c r="F783" s="126"/>
      <c r="O783" s="11"/>
    </row>
    <row r="784">
      <c r="A784" s="1"/>
      <c r="B784" s="1"/>
      <c r="C784" s="1"/>
      <c r="D784" s="1"/>
      <c r="E784" s="1"/>
      <c r="F784" s="126"/>
      <c r="O784" s="11"/>
    </row>
    <row r="785">
      <c r="A785" s="1"/>
      <c r="B785" s="1"/>
      <c r="C785" s="1"/>
      <c r="D785" s="1"/>
      <c r="E785" s="1"/>
      <c r="F785" s="126"/>
      <c r="O785" s="11"/>
    </row>
    <row r="786">
      <c r="A786" s="1"/>
      <c r="B786" s="1"/>
      <c r="C786" s="1"/>
      <c r="D786" s="1"/>
      <c r="E786" s="1"/>
      <c r="F786" s="126"/>
      <c r="O786" s="11"/>
    </row>
    <row r="787">
      <c r="A787" s="1"/>
      <c r="B787" s="1"/>
      <c r="C787" s="1"/>
      <c r="D787" s="1"/>
      <c r="E787" s="1"/>
      <c r="F787" s="126"/>
      <c r="O787" s="11"/>
    </row>
    <row r="788">
      <c r="A788" s="1"/>
      <c r="B788" s="1"/>
      <c r="C788" s="1"/>
      <c r="D788" s="1"/>
      <c r="E788" s="1"/>
      <c r="F788" s="126"/>
      <c r="O788" s="11"/>
    </row>
    <row r="789">
      <c r="A789" s="1"/>
      <c r="B789" s="1"/>
      <c r="C789" s="1"/>
      <c r="D789" s="1"/>
      <c r="E789" s="1"/>
      <c r="F789" s="126"/>
      <c r="O789" s="11"/>
    </row>
    <row r="790">
      <c r="A790" s="1"/>
      <c r="B790" s="1"/>
      <c r="C790" s="1"/>
      <c r="D790" s="1"/>
      <c r="E790" s="1"/>
      <c r="F790" s="126"/>
      <c r="O790" s="11"/>
    </row>
    <row r="791">
      <c r="A791" s="1"/>
      <c r="B791" s="1"/>
      <c r="C791" s="1"/>
      <c r="D791" s="1"/>
      <c r="E791" s="1"/>
      <c r="F791" s="126"/>
      <c r="O791" s="11"/>
    </row>
    <row r="792">
      <c r="A792" s="1"/>
      <c r="B792" s="1"/>
      <c r="C792" s="1"/>
      <c r="D792" s="1"/>
      <c r="E792" s="1"/>
      <c r="F792" s="126"/>
      <c r="O792" s="11"/>
    </row>
    <row r="793">
      <c r="A793" s="1"/>
      <c r="B793" s="1"/>
      <c r="C793" s="1"/>
      <c r="D793" s="1"/>
      <c r="E793" s="1"/>
      <c r="F793" s="126"/>
      <c r="O793" s="11"/>
    </row>
    <row r="794">
      <c r="A794" s="1"/>
      <c r="B794" s="1"/>
      <c r="C794" s="1"/>
      <c r="D794" s="1"/>
      <c r="E794" s="1"/>
      <c r="F794" s="126"/>
      <c r="O794" s="11"/>
    </row>
    <row r="795">
      <c r="A795" s="1"/>
      <c r="B795" s="1"/>
      <c r="C795" s="1"/>
      <c r="D795" s="1"/>
      <c r="E795" s="1"/>
      <c r="F795" s="126"/>
      <c r="O795" s="11"/>
    </row>
    <row r="796">
      <c r="A796" s="1"/>
      <c r="B796" s="1"/>
      <c r="C796" s="1"/>
      <c r="D796" s="1"/>
      <c r="E796" s="1"/>
      <c r="F796" s="126"/>
      <c r="O796" s="11"/>
    </row>
    <row r="797">
      <c r="A797" s="1"/>
      <c r="B797" s="1"/>
      <c r="C797" s="1"/>
      <c r="D797" s="1"/>
      <c r="E797" s="1"/>
      <c r="F797" s="126"/>
      <c r="O797" s="11"/>
    </row>
    <row r="798">
      <c r="A798" s="1"/>
      <c r="B798" s="1"/>
      <c r="C798" s="1"/>
      <c r="D798" s="1"/>
      <c r="E798" s="1"/>
      <c r="F798" s="126"/>
      <c r="O798" s="11"/>
    </row>
    <row r="799">
      <c r="A799" s="1"/>
      <c r="B799" s="1"/>
      <c r="C799" s="1"/>
      <c r="D799" s="1"/>
      <c r="E799" s="1"/>
      <c r="F799" s="126"/>
      <c r="O799" s="11"/>
    </row>
    <row r="800">
      <c r="A800" s="1"/>
      <c r="B800" s="1"/>
      <c r="C800" s="1"/>
      <c r="D800" s="1"/>
      <c r="E800" s="1"/>
      <c r="F800" s="126"/>
      <c r="O800" s="11"/>
    </row>
    <row r="801">
      <c r="A801" s="1"/>
      <c r="B801" s="1"/>
      <c r="C801" s="1"/>
      <c r="D801" s="1"/>
      <c r="E801" s="1"/>
      <c r="F801" s="126"/>
      <c r="O801" s="11"/>
    </row>
    <row r="802">
      <c r="A802" s="1"/>
      <c r="B802" s="1"/>
      <c r="C802" s="1"/>
      <c r="D802" s="1"/>
      <c r="E802" s="1"/>
      <c r="F802" s="126"/>
      <c r="O802" s="11"/>
    </row>
    <row r="803">
      <c r="A803" s="1"/>
      <c r="B803" s="1"/>
      <c r="C803" s="1"/>
      <c r="D803" s="1"/>
      <c r="E803" s="1"/>
      <c r="F803" s="126"/>
      <c r="O803" s="11"/>
    </row>
    <row r="804">
      <c r="A804" s="1"/>
      <c r="B804" s="1"/>
      <c r="C804" s="1"/>
      <c r="D804" s="1"/>
      <c r="E804" s="1"/>
      <c r="F804" s="126"/>
      <c r="O804" s="11"/>
    </row>
    <row r="805">
      <c r="A805" s="1"/>
      <c r="B805" s="1"/>
      <c r="C805" s="1"/>
      <c r="D805" s="1"/>
      <c r="E805" s="1"/>
      <c r="F805" s="126"/>
      <c r="O805" s="11"/>
    </row>
    <row r="806">
      <c r="A806" s="1"/>
      <c r="B806" s="1"/>
      <c r="C806" s="1"/>
      <c r="D806" s="1"/>
      <c r="E806" s="1"/>
      <c r="F806" s="126"/>
      <c r="O806" s="11"/>
    </row>
    <row r="807">
      <c r="A807" s="1"/>
      <c r="B807" s="1"/>
      <c r="C807" s="1"/>
      <c r="D807" s="1"/>
      <c r="E807" s="1"/>
      <c r="F807" s="126"/>
      <c r="O807" s="11"/>
    </row>
    <row r="808">
      <c r="A808" s="1"/>
      <c r="B808" s="1"/>
      <c r="C808" s="1"/>
      <c r="D808" s="1"/>
      <c r="E808" s="1"/>
      <c r="F808" s="126"/>
      <c r="O808" s="11"/>
    </row>
    <row r="809">
      <c r="A809" s="1"/>
      <c r="B809" s="1"/>
      <c r="C809" s="1"/>
      <c r="D809" s="1"/>
      <c r="E809" s="1"/>
      <c r="F809" s="126"/>
      <c r="O809" s="11"/>
    </row>
    <row r="810">
      <c r="A810" s="1"/>
      <c r="B810" s="1"/>
      <c r="C810" s="1"/>
      <c r="D810" s="1"/>
      <c r="E810" s="1"/>
      <c r="F810" s="126"/>
      <c r="O810" s="11"/>
    </row>
    <row r="811">
      <c r="A811" s="1"/>
      <c r="B811" s="1"/>
      <c r="C811" s="1"/>
      <c r="D811" s="1"/>
      <c r="E811" s="1"/>
      <c r="F811" s="126"/>
      <c r="O811" s="11"/>
    </row>
    <row r="812">
      <c r="A812" s="1"/>
      <c r="B812" s="1"/>
      <c r="C812" s="1"/>
      <c r="D812" s="1"/>
      <c r="E812" s="1"/>
      <c r="F812" s="126"/>
      <c r="O812" s="11"/>
    </row>
    <row r="813">
      <c r="A813" s="1"/>
      <c r="B813" s="1"/>
      <c r="C813" s="1"/>
      <c r="D813" s="1"/>
      <c r="E813" s="1"/>
      <c r="F813" s="126"/>
      <c r="O813" s="11"/>
    </row>
    <row r="814">
      <c r="A814" s="1"/>
      <c r="B814" s="1"/>
      <c r="C814" s="1"/>
      <c r="D814" s="1"/>
      <c r="E814" s="1"/>
      <c r="F814" s="126"/>
      <c r="O814" s="11"/>
    </row>
    <row r="815">
      <c r="A815" s="1"/>
      <c r="B815" s="1"/>
      <c r="C815" s="1"/>
      <c r="D815" s="1"/>
      <c r="E815" s="1"/>
      <c r="F815" s="126"/>
      <c r="O815" s="11"/>
    </row>
    <row r="816">
      <c r="A816" s="1"/>
      <c r="B816" s="1"/>
      <c r="C816" s="1"/>
      <c r="D816" s="1"/>
      <c r="E816" s="1"/>
      <c r="F816" s="126"/>
      <c r="O816" s="11"/>
    </row>
    <row r="817">
      <c r="A817" s="1"/>
      <c r="B817" s="1"/>
      <c r="C817" s="1"/>
      <c r="D817" s="1"/>
      <c r="E817" s="1"/>
      <c r="F817" s="126"/>
      <c r="O817" s="11"/>
    </row>
    <row r="818">
      <c r="A818" s="1"/>
      <c r="B818" s="1"/>
      <c r="C818" s="1"/>
      <c r="D818" s="1"/>
      <c r="E818" s="1"/>
      <c r="F818" s="126"/>
      <c r="O818" s="11"/>
    </row>
    <row r="819">
      <c r="A819" s="1"/>
      <c r="B819" s="1"/>
      <c r="C819" s="1"/>
      <c r="D819" s="1"/>
      <c r="E819" s="1"/>
      <c r="F819" s="126"/>
      <c r="O819" s="11"/>
    </row>
    <row r="820">
      <c r="A820" s="1"/>
      <c r="B820" s="1"/>
      <c r="C820" s="1"/>
      <c r="D820" s="1"/>
      <c r="E820" s="1"/>
      <c r="F820" s="126"/>
      <c r="O820" s="11"/>
    </row>
    <row r="821">
      <c r="A821" s="1"/>
      <c r="B821" s="1"/>
      <c r="C821" s="1"/>
      <c r="D821" s="1"/>
      <c r="E821" s="1"/>
      <c r="F821" s="126"/>
      <c r="O821" s="11"/>
    </row>
    <row r="822">
      <c r="A822" s="1"/>
      <c r="B822" s="1"/>
      <c r="C822" s="1"/>
      <c r="D822" s="1"/>
      <c r="E822" s="1"/>
      <c r="F822" s="126"/>
      <c r="O822" s="11"/>
    </row>
    <row r="823">
      <c r="A823" s="1"/>
      <c r="B823" s="1"/>
      <c r="C823" s="1"/>
      <c r="D823" s="1"/>
      <c r="E823" s="1"/>
      <c r="F823" s="126"/>
      <c r="O823" s="11"/>
    </row>
    <row r="824">
      <c r="A824" s="1"/>
      <c r="B824" s="1"/>
      <c r="C824" s="1"/>
      <c r="D824" s="1"/>
      <c r="E824" s="1"/>
      <c r="F824" s="126"/>
      <c r="O824" s="11"/>
    </row>
    <row r="825">
      <c r="A825" s="1"/>
      <c r="B825" s="1"/>
      <c r="C825" s="1"/>
      <c r="D825" s="1"/>
      <c r="E825" s="1"/>
      <c r="F825" s="126"/>
      <c r="O825" s="11"/>
    </row>
    <row r="826">
      <c r="A826" s="1"/>
      <c r="B826" s="1"/>
      <c r="C826" s="1"/>
      <c r="D826" s="1"/>
      <c r="E826" s="1"/>
      <c r="F826" s="126"/>
      <c r="O826" s="11"/>
    </row>
    <row r="827">
      <c r="A827" s="1"/>
      <c r="B827" s="1"/>
      <c r="C827" s="1"/>
      <c r="D827" s="1"/>
      <c r="E827" s="1"/>
      <c r="F827" s="126"/>
      <c r="O827" s="11"/>
    </row>
    <row r="828">
      <c r="A828" s="1"/>
      <c r="B828" s="1"/>
      <c r="C828" s="1"/>
      <c r="D828" s="1"/>
      <c r="E828" s="1"/>
      <c r="F828" s="126"/>
      <c r="O828" s="11"/>
    </row>
    <row r="829">
      <c r="A829" s="1"/>
      <c r="B829" s="1"/>
      <c r="C829" s="1"/>
      <c r="D829" s="1"/>
      <c r="E829" s="1"/>
      <c r="F829" s="126"/>
      <c r="O829" s="11"/>
    </row>
    <row r="830">
      <c r="A830" s="1"/>
      <c r="B830" s="1"/>
      <c r="C830" s="1"/>
      <c r="D830" s="1"/>
      <c r="E830" s="1"/>
      <c r="F830" s="126"/>
      <c r="O830" s="11"/>
    </row>
    <row r="831">
      <c r="A831" s="1"/>
      <c r="B831" s="1"/>
      <c r="C831" s="1"/>
      <c r="D831" s="1"/>
      <c r="E831" s="1"/>
      <c r="F831" s="126"/>
      <c r="O831" s="11"/>
    </row>
    <row r="832">
      <c r="A832" s="1"/>
      <c r="B832" s="1"/>
      <c r="C832" s="1"/>
      <c r="D832" s="1"/>
      <c r="E832" s="1"/>
      <c r="F832" s="126"/>
      <c r="O832" s="11"/>
    </row>
    <row r="833">
      <c r="A833" s="1"/>
      <c r="B833" s="1"/>
      <c r="C833" s="1"/>
      <c r="D833" s="1"/>
      <c r="E833" s="1"/>
      <c r="F833" s="126"/>
      <c r="O833" s="11"/>
    </row>
    <row r="834">
      <c r="A834" s="1"/>
      <c r="B834" s="1"/>
      <c r="C834" s="1"/>
      <c r="D834" s="1"/>
      <c r="E834" s="1"/>
      <c r="F834" s="126"/>
      <c r="O834" s="11"/>
    </row>
    <row r="835">
      <c r="A835" s="1"/>
      <c r="B835" s="1"/>
      <c r="C835" s="1"/>
      <c r="D835" s="1"/>
      <c r="E835" s="1"/>
      <c r="F835" s="126"/>
      <c r="O835" s="11"/>
    </row>
    <row r="836">
      <c r="A836" s="1"/>
      <c r="B836" s="1"/>
      <c r="C836" s="1"/>
      <c r="D836" s="1"/>
      <c r="E836" s="1"/>
      <c r="F836" s="126"/>
      <c r="O836" s="11"/>
    </row>
    <row r="837">
      <c r="A837" s="1"/>
      <c r="B837" s="1"/>
      <c r="C837" s="1"/>
      <c r="D837" s="1"/>
      <c r="E837" s="1"/>
      <c r="F837" s="126"/>
      <c r="O837" s="11"/>
    </row>
    <row r="838">
      <c r="A838" s="1"/>
      <c r="B838" s="1"/>
      <c r="C838" s="1"/>
      <c r="D838" s="1"/>
      <c r="E838" s="1"/>
      <c r="F838" s="126"/>
      <c r="O838" s="11"/>
    </row>
    <row r="839">
      <c r="A839" s="1"/>
      <c r="B839" s="1"/>
      <c r="C839" s="1"/>
      <c r="D839" s="1"/>
      <c r="E839" s="1"/>
      <c r="F839" s="126"/>
      <c r="O839" s="11"/>
    </row>
    <row r="840">
      <c r="A840" s="1"/>
      <c r="B840" s="1"/>
      <c r="C840" s="1"/>
      <c r="D840" s="1"/>
      <c r="E840" s="1"/>
      <c r="F840" s="126"/>
      <c r="O840" s="11"/>
    </row>
    <row r="841">
      <c r="A841" s="1"/>
      <c r="B841" s="1"/>
      <c r="C841" s="1"/>
      <c r="D841" s="1"/>
      <c r="E841" s="1"/>
      <c r="F841" s="126"/>
      <c r="O841" s="11"/>
    </row>
    <row r="842">
      <c r="A842" s="1"/>
      <c r="B842" s="1"/>
      <c r="C842" s="1"/>
      <c r="D842" s="1"/>
      <c r="E842" s="1"/>
      <c r="F842" s="126"/>
      <c r="O842" s="11"/>
    </row>
    <row r="843">
      <c r="A843" s="1"/>
      <c r="B843" s="1"/>
      <c r="C843" s="1"/>
      <c r="D843" s="1"/>
      <c r="E843" s="1"/>
      <c r="F843" s="126"/>
      <c r="O843" s="11"/>
    </row>
    <row r="844">
      <c r="A844" s="1"/>
      <c r="B844" s="1"/>
      <c r="C844" s="1"/>
      <c r="D844" s="1"/>
      <c r="E844" s="1"/>
      <c r="F844" s="126"/>
      <c r="O844" s="11"/>
    </row>
    <row r="845">
      <c r="A845" s="1"/>
      <c r="B845" s="1"/>
      <c r="C845" s="1"/>
      <c r="D845" s="1"/>
      <c r="E845" s="1"/>
      <c r="F845" s="126"/>
      <c r="O845" s="11"/>
    </row>
    <row r="846">
      <c r="A846" s="1"/>
      <c r="B846" s="1"/>
      <c r="C846" s="1"/>
      <c r="D846" s="1"/>
      <c r="E846" s="1"/>
      <c r="F846" s="126"/>
      <c r="O846" s="11"/>
    </row>
    <row r="847">
      <c r="A847" s="1"/>
      <c r="B847" s="1"/>
      <c r="C847" s="1"/>
      <c r="D847" s="1"/>
      <c r="E847" s="1"/>
      <c r="F847" s="126"/>
      <c r="O847" s="11"/>
    </row>
    <row r="848">
      <c r="A848" s="1"/>
      <c r="B848" s="1"/>
      <c r="C848" s="1"/>
      <c r="D848" s="1"/>
      <c r="E848" s="1"/>
      <c r="F848" s="126"/>
      <c r="O848" s="11"/>
    </row>
    <row r="849">
      <c r="A849" s="1"/>
      <c r="B849" s="1"/>
      <c r="C849" s="1"/>
      <c r="D849" s="1"/>
      <c r="E849" s="1"/>
      <c r="F849" s="126"/>
      <c r="O849" s="11"/>
    </row>
    <row r="850">
      <c r="A850" s="1"/>
      <c r="B850" s="1"/>
      <c r="C850" s="1"/>
      <c r="D850" s="1"/>
      <c r="E850" s="1"/>
      <c r="F850" s="126"/>
      <c r="O850" s="11"/>
    </row>
    <row r="851">
      <c r="A851" s="1"/>
      <c r="B851" s="1"/>
      <c r="C851" s="1"/>
      <c r="D851" s="1"/>
      <c r="E851" s="1"/>
      <c r="F851" s="126"/>
      <c r="O851" s="11"/>
    </row>
    <row r="852">
      <c r="A852" s="1"/>
      <c r="B852" s="1"/>
      <c r="C852" s="1"/>
      <c r="D852" s="1"/>
      <c r="E852" s="1"/>
      <c r="F852" s="126"/>
      <c r="O852" s="11"/>
    </row>
    <row r="853">
      <c r="A853" s="1"/>
      <c r="B853" s="1"/>
      <c r="C853" s="1"/>
      <c r="D853" s="1"/>
      <c r="E853" s="1"/>
      <c r="F853" s="126"/>
      <c r="O853" s="11"/>
    </row>
    <row r="854">
      <c r="A854" s="1"/>
      <c r="B854" s="1"/>
      <c r="C854" s="1"/>
      <c r="D854" s="1"/>
      <c r="E854" s="1"/>
      <c r="F854" s="126"/>
      <c r="O854" s="11"/>
    </row>
    <row r="855">
      <c r="A855" s="1"/>
      <c r="B855" s="1"/>
      <c r="C855" s="1"/>
      <c r="D855" s="1"/>
      <c r="E855" s="1"/>
      <c r="F855" s="126"/>
      <c r="O855" s="11"/>
    </row>
    <row r="856">
      <c r="A856" s="1"/>
      <c r="B856" s="1"/>
      <c r="C856" s="1"/>
      <c r="D856" s="1"/>
      <c r="E856" s="1"/>
      <c r="F856" s="126"/>
      <c r="O856" s="11"/>
    </row>
    <row r="857">
      <c r="A857" s="1"/>
      <c r="B857" s="1"/>
      <c r="C857" s="1"/>
      <c r="D857" s="1"/>
      <c r="E857" s="1"/>
      <c r="F857" s="126"/>
      <c r="O857" s="11"/>
    </row>
    <row r="858">
      <c r="A858" s="1"/>
      <c r="B858" s="1"/>
      <c r="C858" s="1"/>
      <c r="D858" s="1"/>
      <c r="E858" s="1"/>
      <c r="F858" s="126"/>
      <c r="O858" s="11"/>
    </row>
    <row r="859">
      <c r="A859" s="1"/>
      <c r="B859" s="1"/>
      <c r="C859" s="1"/>
      <c r="D859" s="1"/>
      <c r="E859" s="1"/>
      <c r="F859" s="126"/>
      <c r="O859" s="11"/>
    </row>
    <row r="860">
      <c r="A860" s="1"/>
      <c r="B860" s="1"/>
      <c r="C860" s="1"/>
      <c r="D860" s="1"/>
      <c r="E860" s="1"/>
      <c r="F860" s="126"/>
      <c r="O860" s="11"/>
    </row>
    <row r="861">
      <c r="A861" s="1"/>
      <c r="B861" s="1"/>
      <c r="C861" s="1"/>
      <c r="D861" s="1"/>
      <c r="E861" s="1"/>
      <c r="F861" s="126"/>
      <c r="O861" s="11"/>
    </row>
    <row r="862">
      <c r="A862" s="1"/>
      <c r="B862" s="1"/>
      <c r="C862" s="1"/>
      <c r="D862" s="1"/>
      <c r="E862" s="1"/>
      <c r="F862" s="126"/>
      <c r="O862" s="11"/>
    </row>
    <row r="863">
      <c r="A863" s="1"/>
      <c r="B863" s="1"/>
      <c r="C863" s="1"/>
      <c r="D863" s="1"/>
      <c r="E863" s="1"/>
      <c r="F863" s="126"/>
      <c r="O863" s="11"/>
    </row>
    <row r="864">
      <c r="A864" s="1"/>
      <c r="B864" s="1"/>
      <c r="C864" s="1"/>
      <c r="D864" s="1"/>
      <c r="E864" s="1"/>
      <c r="F864" s="126"/>
      <c r="O864" s="11"/>
    </row>
    <row r="865">
      <c r="A865" s="1"/>
      <c r="B865" s="1"/>
      <c r="C865" s="1"/>
      <c r="D865" s="1"/>
      <c r="E865" s="1"/>
      <c r="F865" s="126"/>
      <c r="O865" s="11"/>
    </row>
    <row r="866">
      <c r="A866" s="1"/>
      <c r="B866" s="1"/>
      <c r="C866" s="1"/>
      <c r="D866" s="1"/>
      <c r="E866" s="1"/>
      <c r="F866" s="126"/>
      <c r="O866" s="11"/>
    </row>
    <row r="867">
      <c r="A867" s="1"/>
      <c r="B867" s="1"/>
      <c r="C867" s="1"/>
      <c r="D867" s="1"/>
      <c r="E867" s="1"/>
      <c r="F867" s="126"/>
      <c r="O867" s="11"/>
    </row>
    <row r="868">
      <c r="A868" s="1"/>
      <c r="B868" s="1"/>
      <c r="C868" s="1"/>
      <c r="D868" s="1"/>
      <c r="E868" s="1"/>
      <c r="F868" s="126"/>
      <c r="O868" s="11"/>
    </row>
    <row r="869">
      <c r="A869" s="1"/>
      <c r="B869" s="1"/>
      <c r="C869" s="1"/>
      <c r="D869" s="1"/>
      <c r="E869" s="1"/>
      <c r="F869" s="126"/>
      <c r="O869" s="11"/>
    </row>
    <row r="870">
      <c r="A870" s="1"/>
      <c r="B870" s="1"/>
      <c r="C870" s="1"/>
      <c r="D870" s="1"/>
      <c r="E870" s="1"/>
      <c r="F870" s="126"/>
      <c r="O870" s="11"/>
    </row>
    <row r="871">
      <c r="A871" s="1"/>
      <c r="B871" s="1"/>
      <c r="C871" s="1"/>
      <c r="D871" s="1"/>
      <c r="E871" s="1"/>
      <c r="F871" s="126"/>
      <c r="O871" s="11"/>
    </row>
    <row r="872">
      <c r="A872" s="1"/>
      <c r="B872" s="1"/>
      <c r="C872" s="1"/>
      <c r="D872" s="1"/>
      <c r="E872" s="1"/>
      <c r="F872" s="126"/>
      <c r="O872" s="11"/>
    </row>
    <row r="873">
      <c r="A873" s="1"/>
      <c r="B873" s="1"/>
      <c r="C873" s="1"/>
      <c r="D873" s="1"/>
      <c r="E873" s="1"/>
      <c r="F873" s="126"/>
      <c r="O873" s="11"/>
    </row>
    <row r="874">
      <c r="A874" s="1"/>
      <c r="B874" s="1"/>
      <c r="C874" s="1"/>
      <c r="D874" s="1"/>
      <c r="E874" s="1"/>
      <c r="F874" s="126"/>
      <c r="O874" s="11"/>
    </row>
    <row r="875">
      <c r="A875" s="1"/>
      <c r="B875" s="1"/>
      <c r="C875" s="1"/>
      <c r="D875" s="1"/>
      <c r="E875" s="1"/>
      <c r="F875" s="126"/>
      <c r="O875" s="11"/>
    </row>
    <row r="876">
      <c r="A876" s="1"/>
      <c r="B876" s="1"/>
      <c r="C876" s="1"/>
      <c r="D876" s="1"/>
      <c r="E876" s="1"/>
      <c r="F876" s="126"/>
      <c r="O876" s="11"/>
    </row>
    <row r="877">
      <c r="A877" s="1"/>
      <c r="B877" s="1"/>
      <c r="C877" s="1"/>
      <c r="D877" s="1"/>
      <c r="E877" s="1"/>
      <c r="F877" s="126"/>
      <c r="O877" s="11"/>
    </row>
    <row r="878">
      <c r="A878" s="1"/>
      <c r="B878" s="1"/>
      <c r="C878" s="1"/>
      <c r="D878" s="1"/>
      <c r="E878" s="1"/>
      <c r="F878" s="126"/>
      <c r="O878" s="11"/>
    </row>
    <row r="879">
      <c r="A879" s="1"/>
      <c r="B879" s="1"/>
      <c r="C879" s="1"/>
      <c r="D879" s="1"/>
      <c r="E879" s="1"/>
      <c r="F879" s="126"/>
      <c r="O879" s="11"/>
    </row>
    <row r="880">
      <c r="A880" s="1"/>
      <c r="B880" s="1"/>
      <c r="C880" s="1"/>
      <c r="D880" s="1"/>
      <c r="E880" s="1"/>
      <c r="F880" s="126"/>
      <c r="O880" s="11"/>
    </row>
    <row r="881">
      <c r="A881" s="1"/>
      <c r="B881" s="1"/>
      <c r="C881" s="1"/>
      <c r="D881" s="1"/>
      <c r="E881" s="1"/>
      <c r="F881" s="126"/>
      <c r="O881" s="11"/>
    </row>
    <row r="882">
      <c r="A882" s="1"/>
      <c r="B882" s="1"/>
      <c r="C882" s="1"/>
      <c r="D882" s="1"/>
      <c r="E882" s="1"/>
      <c r="F882" s="126"/>
      <c r="O882" s="11"/>
    </row>
    <row r="883">
      <c r="A883" s="1"/>
      <c r="B883" s="1"/>
      <c r="C883" s="1"/>
      <c r="D883" s="1"/>
      <c r="E883" s="1"/>
      <c r="F883" s="126"/>
      <c r="O883" s="11"/>
    </row>
    <row r="884">
      <c r="A884" s="1"/>
      <c r="B884" s="1"/>
      <c r="C884" s="1"/>
      <c r="D884" s="1"/>
      <c r="E884" s="1"/>
      <c r="F884" s="126"/>
      <c r="O884" s="11"/>
    </row>
    <row r="885">
      <c r="A885" s="1"/>
      <c r="B885" s="1"/>
      <c r="C885" s="1"/>
      <c r="D885" s="1"/>
      <c r="E885" s="1"/>
      <c r="F885" s="126"/>
      <c r="O885" s="11"/>
    </row>
    <row r="886">
      <c r="A886" s="1"/>
      <c r="B886" s="1"/>
      <c r="C886" s="1"/>
      <c r="D886" s="1"/>
      <c r="E886" s="1"/>
      <c r="F886" s="126"/>
      <c r="O886" s="11"/>
    </row>
    <row r="887">
      <c r="A887" s="1"/>
      <c r="B887" s="1"/>
      <c r="C887" s="1"/>
      <c r="D887" s="1"/>
      <c r="E887" s="1"/>
      <c r="F887" s="126"/>
      <c r="O887" s="11"/>
    </row>
    <row r="888">
      <c r="A888" s="1"/>
      <c r="B888" s="1"/>
      <c r="C888" s="1"/>
      <c r="D888" s="1"/>
      <c r="E888" s="1"/>
      <c r="F888" s="126"/>
      <c r="O888" s="11"/>
    </row>
    <row r="889">
      <c r="A889" s="1"/>
      <c r="B889" s="1"/>
      <c r="C889" s="1"/>
      <c r="D889" s="1"/>
      <c r="E889" s="1"/>
      <c r="F889" s="126"/>
      <c r="O889" s="11"/>
    </row>
    <row r="890">
      <c r="A890" s="1"/>
      <c r="B890" s="1"/>
      <c r="C890" s="1"/>
      <c r="D890" s="1"/>
      <c r="E890" s="1"/>
      <c r="F890" s="126"/>
      <c r="O890" s="11"/>
    </row>
    <row r="891">
      <c r="A891" s="1"/>
      <c r="B891" s="1"/>
      <c r="C891" s="1"/>
      <c r="D891" s="1"/>
      <c r="E891" s="1"/>
      <c r="F891" s="126"/>
      <c r="O891" s="11"/>
    </row>
    <row r="892">
      <c r="A892" s="1"/>
      <c r="B892" s="1"/>
      <c r="C892" s="1"/>
      <c r="D892" s="1"/>
      <c r="E892" s="1"/>
      <c r="F892" s="126"/>
      <c r="O892" s="11"/>
    </row>
    <row r="893">
      <c r="A893" s="1"/>
      <c r="B893" s="1"/>
      <c r="C893" s="1"/>
      <c r="D893" s="1"/>
      <c r="E893" s="1"/>
      <c r="F893" s="126"/>
      <c r="O893" s="11"/>
    </row>
    <row r="894">
      <c r="A894" s="1"/>
      <c r="B894" s="1"/>
      <c r="C894" s="1"/>
      <c r="D894" s="1"/>
      <c r="E894" s="1"/>
      <c r="F894" s="126"/>
      <c r="O894" s="11"/>
    </row>
    <row r="895">
      <c r="A895" s="1"/>
      <c r="B895" s="1"/>
      <c r="C895" s="1"/>
      <c r="D895" s="1"/>
      <c r="E895" s="1"/>
      <c r="F895" s="126"/>
      <c r="O895" s="11"/>
    </row>
    <row r="896">
      <c r="A896" s="1"/>
      <c r="B896" s="1"/>
      <c r="C896" s="1"/>
      <c r="D896" s="1"/>
      <c r="E896" s="1"/>
      <c r="F896" s="126"/>
      <c r="O896" s="11"/>
    </row>
    <row r="897">
      <c r="A897" s="1"/>
      <c r="B897" s="1"/>
      <c r="C897" s="1"/>
      <c r="D897" s="1"/>
      <c r="E897" s="1"/>
      <c r="F897" s="126"/>
      <c r="O897" s="11"/>
    </row>
    <row r="898">
      <c r="A898" s="1"/>
      <c r="B898" s="1"/>
      <c r="C898" s="1"/>
      <c r="D898" s="1"/>
      <c r="E898" s="1"/>
      <c r="F898" s="126"/>
      <c r="O898" s="11"/>
    </row>
    <row r="899">
      <c r="A899" s="1"/>
      <c r="B899" s="1"/>
      <c r="C899" s="1"/>
      <c r="D899" s="1"/>
      <c r="E899" s="1"/>
      <c r="F899" s="126"/>
      <c r="O899" s="11"/>
    </row>
    <row r="900">
      <c r="A900" s="1"/>
      <c r="B900" s="1"/>
      <c r="C900" s="1"/>
      <c r="D900" s="1"/>
      <c r="E900" s="1"/>
      <c r="F900" s="126"/>
      <c r="O900" s="11"/>
    </row>
    <row r="901">
      <c r="A901" s="1"/>
      <c r="B901" s="1"/>
      <c r="C901" s="1"/>
      <c r="D901" s="1"/>
      <c r="E901" s="1"/>
      <c r="F901" s="126"/>
      <c r="O901" s="11"/>
    </row>
    <row r="902">
      <c r="A902" s="1"/>
      <c r="B902" s="1"/>
      <c r="C902" s="1"/>
      <c r="D902" s="1"/>
      <c r="E902" s="1"/>
      <c r="F902" s="126"/>
      <c r="O902" s="11"/>
    </row>
    <row r="903">
      <c r="A903" s="1"/>
      <c r="B903" s="1"/>
      <c r="C903" s="1"/>
      <c r="D903" s="1"/>
      <c r="E903" s="1"/>
      <c r="F903" s="126"/>
      <c r="O903" s="11"/>
    </row>
    <row r="904">
      <c r="A904" s="1"/>
      <c r="B904" s="1"/>
      <c r="C904" s="1"/>
      <c r="D904" s="1"/>
      <c r="E904" s="1"/>
      <c r="F904" s="126"/>
      <c r="O904" s="11"/>
    </row>
    <row r="905">
      <c r="A905" s="1"/>
      <c r="B905" s="1"/>
      <c r="C905" s="1"/>
      <c r="D905" s="1"/>
      <c r="E905" s="1"/>
      <c r="F905" s="126"/>
      <c r="O905" s="11"/>
    </row>
    <row r="906">
      <c r="A906" s="1"/>
      <c r="B906" s="1"/>
      <c r="C906" s="1"/>
      <c r="D906" s="1"/>
      <c r="E906" s="1"/>
      <c r="F906" s="126"/>
      <c r="O906" s="11"/>
    </row>
    <row r="907">
      <c r="A907" s="1"/>
      <c r="B907" s="1"/>
      <c r="C907" s="1"/>
      <c r="D907" s="1"/>
      <c r="E907" s="1"/>
      <c r="F907" s="126"/>
      <c r="O907" s="11"/>
    </row>
    <row r="908">
      <c r="A908" s="1"/>
      <c r="B908" s="1"/>
      <c r="C908" s="1"/>
      <c r="D908" s="1"/>
      <c r="E908" s="1"/>
      <c r="F908" s="126"/>
      <c r="O908" s="11"/>
    </row>
    <row r="909">
      <c r="A909" s="1"/>
      <c r="B909" s="1"/>
      <c r="C909" s="1"/>
      <c r="D909" s="1"/>
      <c r="E909" s="1"/>
      <c r="F909" s="126"/>
      <c r="O909" s="11"/>
    </row>
    <row r="910">
      <c r="A910" s="1"/>
      <c r="B910" s="1"/>
      <c r="C910" s="1"/>
      <c r="D910" s="1"/>
      <c r="E910" s="1"/>
      <c r="F910" s="126"/>
      <c r="O910" s="11"/>
    </row>
    <row r="911">
      <c r="A911" s="1"/>
      <c r="B911" s="1"/>
      <c r="C911" s="1"/>
      <c r="D911" s="1"/>
      <c r="E911" s="1"/>
      <c r="F911" s="126"/>
      <c r="O911" s="11"/>
    </row>
    <row r="912">
      <c r="A912" s="1"/>
      <c r="B912" s="1"/>
      <c r="C912" s="1"/>
      <c r="D912" s="1"/>
      <c r="E912" s="1"/>
      <c r="F912" s="126"/>
      <c r="O912" s="11"/>
    </row>
    <row r="913">
      <c r="A913" s="1"/>
      <c r="B913" s="1"/>
      <c r="C913" s="1"/>
      <c r="D913" s="1"/>
      <c r="E913" s="1"/>
      <c r="F913" s="126"/>
      <c r="O913" s="11"/>
    </row>
    <row r="914">
      <c r="A914" s="1"/>
      <c r="B914" s="1"/>
      <c r="C914" s="1"/>
      <c r="D914" s="1"/>
      <c r="E914" s="1"/>
      <c r="F914" s="126"/>
      <c r="O914" s="11"/>
    </row>
    <row r="915">
      <c r="A915" s="1"/>
      <c r="B915" s="1"/>
      <c r="C915" s="1"/>
      <c r="D915" s="1"/>
      <c r="E915" s="1"/>
      <c r="F915" s="126"/>
      <c r="O915" s="11"/>
    </row>
    <row r="916">
      <c r="A916" s="1"/>
      <c r="B916" s="1"/>
      <c r="C916" s="1"/>
      <c r="D916" s="1"/>
      <c r="E916" s="1"/>
      <c r="F916" s="126"/>
      <c r="O916" s="11"/>
    </row>
    <row r="917">
      <c r="A917" s="1"/>
      <c r="B917" s="1"/>
      <c r="C917" s="1"/>
      <c r="D917" s="1"/>
      <c r="E917" s="1"/>
      <c r="F917" s="126"/>
      <c r="O917" s="11"/>
    </row>
    <row r="918">
      <c r="A918" s="1"/>
      <c r="B918" s="1"/>
      <c r="C918" s="1"/>
      <c r="D918" s="1"/>
      <c r="E918" s="1"/>
      <c r="F918" s="126"/>
      <c r="O918" s="11"/>
    </row>
    <row r="919">
      <c r="A919" s="1"/>
      <c r="B919" s="1"/>
      <c r="C919" s="1"/>
      <c r="D919" s="1"/>
      <c r="E919" s="1"/>
      <c r="F919" s="126"/>
      <c r="O919" s="11"/>
    </row>
    <row r="920">
      <c r="A920" s="1"/>
      <c r="B920" s="1"/>
      <c r="C920" s="1"/>
      <c r="D920" s="1"/>
      <c r="E920" s="1"/>
      <c r="F920" s="126"/>
      <c r="O920" s="11"/>
    </row>
    <row r="921">
      <c r="A921" s="1"/>
      <c r="B921" s="1"/>
      <c r="C921" s="1"/>
      <c r="D921" s="1"/>
      <c r="E921" s="1"/>
      <c r="F921" s="126"/>
      <c r="O921" s="11"/>
    </row>
    <row r="922">
      <c r="A922" s="1"/>
      <c r="B922" s="1"/>
      <c r="C922" s="1"/>
      <c r="D922" s="1"/>
      <c r="E922" s="1"/>
      <c r="F922" s="126"/>
      <c r="O922" s="11"/>
    </row>
    <row r="923">
      <c r="A923" s="1"/>
      <c r="B923" s="1"/>
      <c r="C923" s="1"/>
      <c r="D923" s="1"/>
      <c r="E923" s="1"/>
      <c r="F923" s="126"/>
      <c r="O923" s="11"/>
    </row>
    <row r="924">
      <c r="A924" s="1"/>
      <c r="B924" s="1"/>
      <c r="C924" s="1"/>
      <c r="D924" s="1"/>
      <c r="E924" s="1"/>
      <c r="F924" s="126"/>
      <c r="O924" s="11"/>
    </row>
    <row r="925">
      <c r="A925" s="1"/>
      <c r="B925" s="1"/>
      <c r="C925" s="1"/>
      <c r="D925" s="1"/>
      <c r="E925" s="1"/>
      <c r="F925" s="126"/>
      <c r="O925" s="11"/>
    </row>
    <row r="926">
      <c r="A926" s="1"/>
      <c r="B926" s="1"/>
      <c r="C926" s="1"/>
      <c r="D926" s="1"/>
      <c r="E926" s="1"/>
      <c r="F926" s="126"/>
      <c r="O926" s="11"/>
    </row>
    <row r="927">
      <c r="A927" s="1"/>
      <c r="B927" s="1"/>
      <c r="C927" s="1"/>
      <c r="D927" s="1"/>
      <c r="E927" s="1"/>
      <c r="F927" s="126"/>
      <c r="O927" s="11"/>
    </row>
    <row r="928">
      <c r="A928" s="1"/>
      <c r="B928" s="1"/>
      <c r="C928" s="1"/>
      <c r="D928" s="1"/>
      <c r="E928" s="1"/>
      <c r="F928" s="126"/>
      <c r="O928" s="11"/>
    </row>
    <row r="929">
      <c r="A929" s="1"/>
      <c r="B929" s="1"/>
      <c r="C929" s="1"/>
      <c r="D929" s="1"/>
      <c r="E929" s="1"/>
      <c r="F929" s="126"/>
      <c r="O929" s="11"/>
    </row>
    <row r="930">
      <c r="A930" s="1"/>
      <c r="B930" s="1"/>
      <c r="C930" s="1"/>
      <c r="D930" s="1"/>
      <c r="E930" s="1"/>
      <c r="F930" s="126"/>
      <c r="O930" s="11"/>
    </row>
    <row r="931">
      <c r="A931" s="1"/>
      <c r="B931" s="1"/>
      <c r="C931" s="1"/>
      <c r="D931" s="1"/>
      <c r="E931" s="1"/>
      <c r="F931" s="126"/>
      <c r="O931" s="11"/>
    </row>
    <row r="932">
      <c r="A932" s="1"/>
      <c r="B932" s="1"/>
      <c r="C932" s="1"/>
      <c r="D932" s="1"/>
      <c r="E932" s="1"/>
      <c r="F932" s="126"/>
      <c r="O932" s="11"/>
    </row>
    <row r="933">
      <c r="A933" s="1"/>
      <c r="B933" s="1"/>
      <c r="C933" s="1"/>
      <c r="D933" s="1"/>
      <c r="E933" s="1"/>
      <c r="F933" s="126"/>
      <c r="O933" s="11"/>
    </row>
    <row r="934">
      <c r="A934" s="1"/>
      <c r="B934" s="1"/>
      <c r="C934" s="1"/>
      <c r="D934" s="1"/>
      <c r="E934" s="1"/>
      <c r="F934" s="126"/>
      <c r="O934" s="11"/>
    </row>
    <row r="935">
      <c r="A935" s="1"/>
      <c r="B935" s="1"/>
      <c r="C935" s="1"/>
      <c r="D935" s="1"/>
      <c r="E935" s="1"/>
      <c r="F935" s="126"/>
      <c r="O935" s="11"/>
    </row>
    <row r="936">
      <c r="A936" s="1"/>
      <c r="B936" s="1"/>
      <c r="C936" s="1"/>
      <c r="D936" s="1"/>
      <c r="E936" s="1"/>
      <c r="F936" s="126"/>
      <c r="O936" s="11"/>
    </row>
    <row r="937">
      <c r="A937" s="1"/>
      <c r="B937" s="1"/>
      <c r="C937" s="1"/>
      <c r="D937" s="1"/>
      <c r="E937" s="1"/>
      <c r="F937" s="126"/>
      <c r="O937" s="11"/>
    </row>
    <row r="938">
      <c r="A938" s="1"/>
      <c r="B938" s="1"/>
      <c r="C938" s="1"/>
      <c r="D938" s="1"/>
      <c r="E938" s="1"/>
      <c r="F938" s="126"/>
      <c r="O938" s="11"/>
    </row>
    <row r="939">
      <c r="A939" s="1"/>
      <c r="B939" s="1"/>
      <c r="C939" s="1"/>
      <c r="D939" s="1"/>
      <c r="E939" s="1"/>
      <c r="F939" s="126"/>
      <c r="O939" s="11"/>
    </row>
    <row r="940">
      <c r="A940" s="1"/>
      <c r="B940" s="1"/>
      <c r="C940" s="1"/>
      <c r="D940" s="1"/>
      <c r="E940" s="1"/>
      <c r="F940" s="126"/>
      <c r="O940" s="11"/>
    </row>
    <row r="941">
      <c r="A941" s="1"/>
      <c r="B941" s="1"/>
      <c r="C941" s="1"/>
      <c r="D941" s="1"/>
      <c r="E941" s="1"/>
      <c r="F941" s="126"/>
      <c r="O941" s="11"/>
    </row>
    <row r="942">
      <c r="A942" s="1"/>
      <c r="B942" s="1"/>
      <c r="C942" s="1"/>
      <c r="D942" s="1"/>
      <c r="E942" s="1"/>
      <c r="F942" s="126"/>
      <c r="O942" s="11"/>
    </row>
    <row r="943">
      <c r="A943" s="1"/>
      <c r="B943" s="1"/>
      <c r="C943" s="1"/>
      <c r="D943" s="1"/>
      <c r="E943" s="1"/>
      <c r="F943" s="126"/>
      <c r="O943" s="11"/>
    </row>
    <row r="944">
      <c r="A944" s="1"/>
      <c r="B944" s="1"/>
      <c r="C944" s="1"/>
      <c r="D944" s="1"/>
      <c r="E944" s="1"/>
      <c r="F944" s="126"/>
      <c r="O944" s="11"/>
    </row>
    <row r="945">
      <c r="A945" s="1"/>
      <c r="B945" s="1"/>
      <c r="C945" s="1"/>
      <c r="D945" s="1"/>
      <c r="E945" s="1"/>
      <c r="F945" s="126"/>
      <c r="O945" s="11"/>
    </row>
    <row r="946">
      <c r="A946" s="1"/>
      <c r="B946" s="1"/>
      <c r="C946" s="1"/>
      <c r="D946" s="1"/>
      <c r="E946" s="1"/>
      <c r="F946" s="126"/>
      <c r="O946" s="11"/>
    </row>
    <row r="947">
      <c r="A947" s="1"/>
      <c r="B947" s="1"/>
      <c r="C947" s="1"/>
      <c r="D947" s="1"/>
      <c r="E947" s="1"/>
      <c r="F947" s="126"/>
      <c r="O947" s="11"/>
    </row>
    <row r="948">
      <c r="A948" s="1"/>
      <c r="B948" s="1"/>
      <c r="C948" s="1"/>
      <c r="D948" s="1"/>
      <c r="E948" s="1"/>
      <c r="F948" s="126"/>
      <c r="O948" s="11"/>
    </row>
    <row r="949">
      <c r="A949" s="1"/>
      <c r="B949" s="1"/>
      <c r="C949" s="1"/>
      <c r="D949" s="1"/>
      <c r="E949" s="1"/>
      <c r="F949" s="126"/>
      <c r="O949" s="11"/>
    </row>
    <row r="950">
      <c r="A950" s="1"/>
      <c r="B950" s="1"/>
      <c r="C950" s="1"/>
      <c r="D950" s="1"/>
      <c r="E950" s="1"/>
      <c r="F950" s="126"/>
      <c r="O950" s="11"/>
    </row>
    <row r="951">
      <c r="A951" s="1"/>
      <c r="B951" s="1"/>
      <c r="C951" s="1"/>
      <c r="D951" s="1"/>
      <c r="E951" s="1"/>
      <c r="F951" s="126"/>
      <c r="O951" s="11"/>
    </row>
    <row r="952">
      <c r="A952" s="1"/>
      <c r="B952" s="1"/>
      <c r="C952" s="1"/>
      <c r="D952" s="1"/>
      <c r="E952" s="1"/>
      <c r="F952" s="126"/>
      <c r="O952" s="11"/>
    </row>
    <row r="953">
      <c r="A953" s="1"/>
      <c r="B953" s="1"/>
      <c r="C953" s="1"/>
      <c r="D953" s="1"/>
      <c r="E953" s="1"/>
      <c r="F953" s="126"/>
      <c r="O953" s="11"/>
    </row>
    <row r="954">
      <c r="A954" s="1"/>
      <c r="B954" s="1"/>
      <c r="C954" s="1"/>
      <c r="D954" s="1"/>
      <c r="E954" s="1"/>
      <c r="F954" s="126"/>
      <c r="O954" s="11"/>
    </row>
    <row r="955">
      <c r="A955" s="1"/>
      <c r="B955" s="1"/>
      <c r="C955" s="1"/>
      <c r="D955" s="1"/>
      <c r="E955" s="1"/>
      <c r="F955" s="126"/>
      <c r="O955" s="11"/>
    </row>
    <row r="956">
      <c r="A956" s="1"/>
      <c r="B956" s="1"/>
      <c r="C956" s="1"/>
      <c r="D956" s="1"/>
      <c r="E956" s="1"/>
      <c r="F956" s="126"/>
      <c r="O956" s="11"/>
    </row>
    <row r="957">
      <c r="A957" s="1"/>
      <c r="B957" s="1"/>
      <c r="C957" s="1"/>
      <c r="D957" s="1"/>
      <c r="E957" s="1"/>
      <c r="F957" s="126"/>
      <c r="O957" s="11"/>
    </row>
    <row r="958">
      <c r="A958" s="1"/>
      <c r="B958" s="1"/>
      <c r="C958" s="1"/>
      <c r="D958" s="1"/>
      <c r="E958" s="1"/>
      <c r="F958" s="126"/>
      <c r="O958" s="11"/>
    </row>
    <row r="959">
      <c r="A959" s="1"/>
      <c r="B959" s="1"/>
      <c r="C959" s="1"/>
      <c r="D959" s="1"/>
      <c r="E959" s="1"/>
      <c r="F959" s="126"/>
      <c r="O959" s="11"/>
    </row>
    <row r="960">
      <c r="A960" s="1"/>
      <c r="B960" s="1"/>
      <c r="C960" s="1"/>
      <c r="D960" s="1"/>
      <c r="E960" s="1"/>
      <c r="F960" s="126"/>
      <c r="O960" s="11"/>
    </row>
    <row r="961">
      <c r="A961" s="1"/>
      <c r="B961" s="1"/>
      <c r="C961" s="1"/>
      <c r="D961" s="1"/>
      <c r="E961" s="1"/>
      <c r="F961" s="126"/>
      <c r="O961" s="11"/>
    </row>
    <row r="962">
      <c r="A962" s="1"/>
      <c r="B962" s="1"/>
      <c r="C962" s="1"/>
      <c r="D962" s="1"/>
      <c r="E962" s="1"/>
      <c r="F962" s="126"/>
      <c r="O962" s="11"/>
    </row>
    <row r="963">
      <c r="A963" s="1"/>
      <c r="B963" s="1"/>
      <c r="C963" s="1"/>
      <c r="D963" s="1"/>
      <c r="E963" s="1"/>
      <c r="F963" s="126"/>
      <c r="O963" s="11"/>
    </row>
    <row r="964">
      <c r="A964" s="1"/>
      <c r="B964" s="1"/>
      <c r="C964" s="1"/>
      <c r="D964" s="1"/>
      <c r="E964" s="1"/>
      <c r="F964" s="126"/>
      <c r="O964" s="11"/>
    </row>
    <row r="965">
      <c r="A965" s="1"/>
      <c r="B965" s="1"/>
      <c r="C965" s="1"/>
      <c r="D965" s="1"/>
      <c r="E965" s="1"/>
      <c r="F965" s="126"/>
      <c r="O965" s="11"/>
    </row>
    <row r="966">
      <c r="A966" s="1"/>
      <c r="B966" s="1"/>
      <c r="C966" s="1"/>
      <c r="D966" s="1"/>
      <c r="E966" s="1"/>
      <c r="F966" s="126"/>
      <c r="O966" s="11"/>
    </row>
    <row r="967">
      <c r="A967" s="1"/>
      <c r="B967" s="1"/>
      <c r="C967" s="1"/>
      <c r="D967" s="1"/>
      <c r="E967" s="1"/>
      <c r="F967" s="126"/>
      <c r="O967" s="11"/>
    </row>
    <row r="968">
      <c r="A968" s="1"/>
      <c r="B968" s="1"/>
      <c r="C968" s="1"/>
      <c r="D968" s="1"/>
      <c r="E968" s="1"/>
      <c r="F968" s="126"/>
      <c r="O968" s="11"/>
    </row>
    <row r="969">
      <c r="A969" s="1"/>
      <c r="B969" s="1"/>
      <c r="C969" s="1"/>
      <c r="D969" s="1"/>
      <c r="E969" s="1"/>
      <c r="F969" s="126"/>
      <c r="O969" s="11"/>
    </row>
    <row r="970">
      <c r="A970" s="1"/>
      <c r="B970" s="1"/>
      <c r="C970" s="1"/>
      <c r="D970" s="1"/>
      <c r="E970" s="1"/>
      <c r="F970" s="126"/>
      <c r="O970" s="11"/>
    </row>
    <row r="971">
      <c r="A971" s="1"/>
      <c r="B971" s="1"/>
      <c r="C971" s="1"/>
      <c r="D971" s="1"/>
      <c r="E971" s="1"/>
      <c r="F971" s="126"/>
      <c r="O971" s="11"/>
    </row>
    <row r="972">
      <c r="A972" s="1"/>
      <c r="B972" s="1"/>
      <c r="C972" s="1"/>
      <c r="D972" s="1"/>
      <c r="E972" s="1"/>
      <c r="F972" s="126"/>
      <c r="O972" s="11"/>
    </row>
    <row r="973">
      <c r="A973" s="1"/>
      <c r="B973" s="1"/>
      <c r="C973" s="1"/>
      <c r="D973" s="1"/>
      <c r="E973" s="1"/>
      <c r="F973" s="126"/>
      <c r="O973" s="11"/>
    </row>
    <row r="974">
      <c r="A974" s="1"/>
      <c r="B974" s="1"/>
      <c r="C974" s="1"/>
      <c r="D974" s="1"/>
      <c r="E974" s="1"/>
      <c r="F974" s="126"/>
      <c r="O974" s="11"/>
    </row>
    <row r="975">
      <c r="A975" s="1"/>
      <c r="B975" s="1"/>
      <c r="C975" s="1"/>
      <c r="D975" s="1"/>
      <c r="E975" s="1"/>
      <c r="F975" s="126"/>
      <c r="O975" s="11"/>
    </row>
    <row r="976">
      <c r="A976" s="1"/>
      <c r="B976" s="1"/>
      <c r="C976" s="1"/>
      <c r="D976" s="1"/>
      <c r="E976" s="1"/>
      <c r="F976" s="126"/>
      <c r="O976" s="11"/>
    </row>
    <row r="977">
      <c r="A977" s="1"/>
      <c r="B977" s="1"/>
      <c r="C977" s="1"/>
      <c r="D977" s="1"/>
      <c r="E977" s="1"/>
      <c r="F977" s="126"/>
      <c r="O977" s="11"/>
    </row>
    <row r="978">
      <c r="A978" s="1"/>
      <c r="B978" s="1"/>
      <c r="C978" s="1"/>
      <c r="D978" s="1"/>
      <c r="E978" s="1"/>
      <c r="F978" s="126"/>
      <c r="O978" s="11"/>
    </row>
    <row r="979">
      <c r="A979" s="1"/>
      <c r="B979" s="1"/>
      <c r="C979" s="1"/>
      <c r="D979" s="1"/>
      <c r="E979" s="1"/>
      <c r="F979" s="126"/>
      <c r="O979" s="11"/>
    </row>
    <row r="980">
      <c r="A980" s="1"/>
      <c r="B980" s="1"/>
      <c r="C980" s="1"/>
      <c r="D980" s="1"/>
      <c r="E980" s="1"/>
      <c r="F980" s="126"/>
      <c r="O980" s="11"/>
    </row>
    <row r="981">
      <c r="A981" s="1"/>
      <c r="B981" s="1"/>
      <c r="C981" s="1"/>
      <c r="D981" s="1"/>
      <c r="E981" s="1"/>
      <c r="F981" s="126"/>
      <c r="O981" s="11"/>
    </row>
    <row r="982">
      <c r="A982" s="1"/>
      <c r="B982" s="1"/>
      <c r="C982" s="1"/>
      <c r="D982" s="1"/>
      <c r="E982" s="1"/>
      <c r="F982" s="126"/>
      <c r="O982" s="11"/>
    </row>
    <row r="983">
      <c r="A983" s="1"/>
      <c r="B983" s="1"/>
      <c r="C983" s="1"/>
      <c r="D983" s="1"/>
      <c r="E983" s="1"/>
      <c r="F983" s="126"/>
      <c r="O983" s="11"/>
    </row>
    <row r="984">
      <c r="A984" s="1"/>
      <c r="B984" s="1"/>
      <c r="C984" s="1"/>
      <c r="D984" s="1"/>
      <c r="E984" s="1"/>
      <c r="F984" s="126"/>
      <c r="O984" s="11"/>
    </row>
    <row r="985">
      <c r="A985" s="1"/>
      <c r="B985" s="1"/>
      <c r="C985" s="1"/>
      <c r="D985" s="1"/>
      <c r="E985" s="1"/>
      <c r="F985" s="126"/>
      <c r="O985" s="11"/>
    </row>
    <row r="986">
      <c r="A986" s="1"/>
      <c r="B986" s="1"/>
      <c r="C986" s="1"/>
      <c r="D986" s="1"/>
      <c r="E986" s="1"/>
      <c r="F986" s="126"/>
      <c r="O986" s="11"/>
    </row>
    <row r="987">
      <c r="A987" s="1"/>
      <c r="B987" s="1"/>
      <c r="C987" s="1"/>
      <c r="D987" s="1"/>
      <c r="E987" s="1"/>
      <c r="F987" s="126"/>
      <c r="O987" s="11"/>
    </row>
    <row r="988">
      <c r="A988" s="1"/>
      <c r="B988" s="1"/>
      <c r="C988" s="1"/>
      <c r="D988" s="1"/>
      <c r="E988" s="1"/>
      <c r="F988" s="126"/>
      <c r="O988" s="11"/>
    </row>
    <row r="989">
      <c r="A989" s="1"/>
      <c r="B989" s="1"/>
      <c r="C989" s="1"/>
      <c r="D989" s="1"/>
      <c r="E989" s="1"/>
      <c r="F989" s="126"/>
      <c r="O989" s="11"/>
    </row>
    <row r="990">
      <c r="A990" s="1"/>
      <c r="B990" s="1"/>
      <c r="C990" s="1"/>
      <c r="D990" s="1"/>
      <c r="E990" s="1"/>
      <c r="F990" s="126"/>
      <c r="O990" s="11"/>
    </row>
    <row r="991">
      <c r="A991" s="1"/>
      <c r="B991" s="1"/>
      <c r="C991" s="1"/>
      <c r="D991" s="1"/>
      <c r="E991" s="1"/>
      <c r="F991" s="126"/>
      <c r="O991" s="11"/>
    </row>
    <row r="992">
      <c r="A992" s="1"/>
      <c r="B992" s="1"/>
      <c r="C992" s="1"/>
      <c r="D992" s="1"/>
      <c r="E992" s="1"/>
      <c r="F992" s="126"/>
      <c r="O992" s="11"/>
    </row>
    <row r="993">
      <c r="A993" s="1"/>
      <c r="B993" s="1"/>
      <c r="C993" s="1"/>
      <c r="D993" s="1"/>
      <c r="E993" s="1"/>
      <c r="F993" s="126"/>
      <c r="O993" s="11"/>
    </row>
    <row r="994">
      <c r="A994" s="1"/>
      <c r="B994" s="1"/>
      <c r="C994" s="1"/>
      <c r="D994" s="1"/>
      <c r="E994" s="1"/>
      <c r="F994" s="126"/>
      <c r="O994" s="11"/>
    </row>
    <row r="995">
      <c r="A995" s="1"/>
      <c r="B995" s="1"/>
      <c r="C995" s="1"/>
      <c r="D995" s="1"/>
      <c r="E995" s="1"/>
      <c r="F995" s="126"/>
      <c r="O995" s="11"/>
    </row>
    <row r="996">
      <c r="A996" s="1"/>
      <c r="B996" s="1"/>
      <c r="C996" s="1"/>
      <c r="D996" s="1"/>
      <c r="E996" s="1"/>
      <c r="F996" s="126"/>
      <c r="O996" s="11"/>
    </row>
    <row r="997">
      <c r="A997" s="1"/>
      <c r="B997" s="1"/>
      <c r="C997" s="1"/>
      <c r="D997" s="1"/>
      <c r="E997" s="1"/>
      <c r="F997" s="126"/>
      <c r="O997" s="11"/>
    </row>
    <row r="998">
      <c r="A998" s="1"/>
      <c r="B998" s="1"/>
      <c r="C998" s="1"/>
      <c r="D998" s="1"/>
      <c r="E998" s="1"/>
      <c r="F998" s="126"/>
      <c r="O998" s="11"/>
    </row>
    <row r="999">
      <c r="A999" s="1"/>
      <c r="B999" s="1"/>
      <c r="C999" s="1"/>
      <c r="D999" s="1"/>
      <c r="E999" s="1"/>
      <c r="F999" s="126"/>
      <c r="O999" s="11"/>
    </row>
  </sheetData>
  <mergeCells count="3">
    <mergeCell ref="B1:C1"/>
    <mergeCell ref="D1:J1"/>
    <mergeCell ref="K1:P1"/>
  </mergeCells>
  <conditionalFormatting sqref="F1:F999">
    <cfRule type="cellIs" dxfId="0" priority="1" operator="lessThanOrEqual">
      <formula>-1</formula>
    </cfRule>
  </conditionalFormatting>
  <conditionalFormatting sqref="F1:F999">
    <cfRule type="cellIs" dxfId="1" priority="2" operator="greaterThanOrEqual">
      <formula>0</formula>
    </cfRule>
  </conditionalFormatting>
  <conditionalFormatting sqref="L1:L999">
    <cfRule type="cellIs" dxfId="1" priority="3" operator="greaterThanOrEqual">
      <formula>0.01</formula>
    </cfRule>
  </conditionalFormatting>
  <conditionalFormatting sqref="L1:L999">
    <cfRule type="cellIs" dxfId="0" priority="4" operator="lessThan">
      <formula>0</formula>
    </cfRule>
  </conditionalFormatting>
  <conditionalFormatting sqref="D1:D999">
    <cfRule type="cellIs" dxfId="1" priority="5" operator="greaterThan">
      <formula>0</formula>
    </cfRule>
  </conditionalFormatting>
  <conditionalFormatting sqref="D1:D999">
    <cfRule type="cellIs" dxfId="0" priority="6" operator="lessThanOrEqual">
      <formula>0</formula>
    </cfRule>
  </conditionalFormatting>
  <conditionalFormatting sqref="O1:O999">
    <cfRule type="cellIs" dxfId="1" priority="7" operator="greaterThan">
      <formula>0</formula>
    </cfRule>
  </conditionalFormatting>
  <conditionalFormatting sqref="O1:O999">
    <cfRule type="cellIs" dxfId="0" priority="8" operator="lessThanOrEqual">
      <formula>0</formula>
    </cfRule>
  </conditionalFormatting>
  <conditionalFormatting sqref="I1:I999">
    <cfRule type="cellIs" dxfId="1" priority="9" operator="greaterThan">
      <formula>0</formula>
    </cfRule>
  </conditionalFormatting>
  <conditionalFormatting sqref="I1:I999">
    <cfRule type="cellIs" dxfId="0" priority="10" operator="lessThanOrEqual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9.13"/>
  </cols>
  <sheetData>
    <row r="1">
      <c r="A1" s="1"/>
      <c r="B1" s="1"/>
      <c r="C1" s="3"/>
      <c r="D1" s="1"/>
      <c r="E1" s="1"/>
      <c r="F1" s="1"/>
      <c r="G1" s="1"/>
      <c r="H1" s="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/>
      <c r="B2" s="9"/>
      <c r="C2" s="12"/>
      <c r="D2" s="18" t="s">
        <v>6</v>
      </c>
      <c r="E2" s="20"/>
      <c r="F2" s="21"/>
      <c r="G2" s="9"/>
      <c r="H2" s="23"/>
      <c r="I2" s="9"/>
      <c r="J2" s="9"/>
      <c r="K2" s="9"/>
      <c r="L2" s="27" t="s">
        <v>15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9"/>
      <c r="B3" s="32" t="s">
        <v>23</v>
      </c>
      <c r="C3" s="36" t="s">
        <v>24</v>
      </c>
      <c r="D3" s="39" t="s">
        <v>26</v>
      </c>
      <c r="E3" s="41" t="s">
        <v>28</v>
      </c>
      <c r="F3" s="45" t="s">
        <v>29</v>
      </c>
      <c r="G3" s="47" t="s">
        <v>30</v>
      </c>
      <c r="H3" s="50" t="s">
        <v>31</v>
      </c>
      <c r="I3" s="53" t="s">
        <v>33</v>
      </c>
      <c r="J3" s="54" t="s">
        <v>36</v>
      </c>
      <c r="K3" s="39" t="s">
        <v>37</v>
      </c>
      <c r="L3" s="39" t="s">
        <v>38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7" t="s">
        <v>39</v>
      </c>
      <c r="B4" s="55">
        <v>2025.0</v>
      </c>
      <c r="C4" s="56">
        <v>18.0</v>
      </c>
      <c r="D4" s="57">
        <v>8.0</v>
      </c>
      <c r="E4" s="58">
        <v>0.0</v>
      </c>
      <c r="F4" s="63">
        <f t="shared" ref="F4:F34" si="1">D4+E4</f>
        <v>8</v>
      </c>
      <c r="G4" s="64">
        <v>3.0</v>
      </c>
      <c r="H4" s="65">
        <v>0.0</v>
      </c>
      <c r="I4" s="66">
        <v>0.0</v>
      </c>
      <c r="J4" s="70">
        <f t="shared" ref="J4:J34" si="2">F4-G4+I4</f>
        <v>5</v>
      </c>
      <c r="K4" s="71">
        <v>0.1</v>
      </c>
      <c r="L4" s="75">
        <f t="shared" ref="L4:L34" si="3">J4*(1-K4)</f>
        <v>4.5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7" t="s">
        <v>56</v>
      </c>
      <c r="B5" s="55">
        <v>2026.0</v>
      </c>
      <c r="C5" s="56">
        <f t="shared" ref="C5:C34" si="4">C4+L4</f>
        <v>22.5</v>
      </c>
      <c r="D5" s="57">
        <v>8.0</v>
      </c>
      <c r="E5" s="58">
        <v>0.5</v>
      </c>
      <c r="F5" s="63">
        <f t="shared" si="1"/>
        <v>8.5</v>
      </c>
      <c r="G5" s="64">
        <v>3.5</v>
      </c>
      <c r="H5" s="65">
        <v>0.2</v>
      </c>
      <c r="I5" s="80">
        <f t="shared" ref="I5:I34" si="5">C4*H5*0.08</f>
        <v>0.288</v>
      </c>
      <c r="J5" s="81">
        <f t="shared" si="2"/>
        <v>5.288</v>
      </c>
      <c r="K5" s="71">
        <v>0.1</v>
      </c>
      <c r="L5" s="75">
        <f t="shared" si="3"/>
        <v>4.7592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7" t="s">
        <v>58</v>
      </c>
      <c r="B6" s="55">
        <v>2027.0</v>
      </c>
      <c r="C6" s="56">
        <f t="shared" si="4"/>
        <v>27.2592</v>
      </c>
      <c r="D6" s="57">
        <v>9.0</v>
      </c>
      <c r="E6" s="58">
        <v>1.0</v>
      </c>
      <c r="F6" s="63">
        <f t="shared" si="1"/>
        <v>10</v>
      </c>
      <c r="G6" s="64">
        <v>3.5</v>
      </c>
      <c r="H6" s="65">
        <v>0.3</v>
      </c>
      <c r="I6" s="80">
        <f t="shared" si="5"/>
        <v>0.54</v>
      </c>
      <c r="J6" s="81">
        <f t="shared" si="2"/>
        <v>7.04</v>
      </c>
      <c r="K6" s="71">
        <v>0.1</v>
      </c>
      <c r="L6" s="75">
        <f t="shared" si="3"/>
        <v>6.336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7" t="s">
        <v>59</v>
      </c>
      <c r="B7" s="55">
        <v>2028.0</v>
      </c>
      <c r="C7" s="56">
        <f t="shared" si="4"/>
        <v>33.5952</v>
      </c>
      <c r="D7" s="57">
        <v>9.0</v>
      </c>
      <c r="E7" s="58">
        <v>1.0</v>
      </c>
      <c r="F7" s="63">
        <f t="shared" si="1"/>
        <v>10</v>
      </c>
      <c r="G7" s="64">
        <v>3.5</v>
      </c>
      <c r="H7" s="65">
        <v>0.4</v>
      </c>
      <c r="I7" s="80">
        <f t="shared" si="5"/>
        <v>0.8722944</v>
      </c>
      <c r="J7" s="81">
        <f t="shared" si="2"/>
        <v>7.3722944</v>
      </c>
      <c r="K7" s="71">
        <v>0.1</v>
      </c>
      <c r="L7" s="75">
        <f t="shared" si="3"/>
        <v>6.63506496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7" t="s">
        <v>60</v>
      </c>
      <c r="B8" s="55">
        <v>2029.0</v>
      </c>
      <c r="C8" s="56">
        <f t="shared" si="4"/>
        <v>40.23026496</v>
      </c>
      <c r="D8" s="57">
        <v>10.0</v>
      </c>
      <c r="E8" s="58">
        <v>1.0</v>
      </c>
      <c r="F8" s="63">
        <f t="shared" si="1"/>
        <v>11</v>
      </c>
      <c r="G8" s="64">
        <v>3.5</v>
      </c>
      <c r="H8" s="65">
        <v>0.6</v>
      </c>
      <c r="I8" s="80">
        <f t="shared" si="5"/>
        <v>1.6125696</v>
      </c>
      <c r="J8" s="81">
        <f t="shared" si="2"/>
        <v>9.1125696</v>
      </c>
      <c r="K8" s="71">
        <v>0.2</v>
      </c>
      <c r="L8" s="75">
        <f t="shared" si="3"/>
        <v>7.29005568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7" t="s">
        <v>61</v>
      </c>
      <c r="B9" s="55">
        <v>2030.0</v>
      </c>
      <c r="C9" s="56">
        <f t="shared" si="4"/>
        <v>47.52032064</v>
      </c>
      <c r="D9" s="57">
        <v>10.0</v>
      </c>
      <c r="E9" s="58">
        <v>2.0</v>
      </c>
      <c r="F9" s="63">
        <f t="shared" si="1"/>
        <v>12</v>
      </c>
      <c r="G9" s="64">
        <v>4.5</v>
      </c>
      <c r="H9" s="65">
        <v>0.6</v>
      </c>
      <c r="I9" s="80">
        <f t="shared" si="5"/>
        <v>1.931052718</v>
      </c>
      <c r="J9" s="81">
        <f t="shared" si="2"/>
        <v>9.431052718</v>
      </c>
      <c r="K9" s="71">
        <v>0.2</v>
      </c>
      <c r="L9" s="75">
        <f t="shared" si="3"/>
        <v>7.544842174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7" t="s">
        <v>64</v>
      </c>
      <c r="B10" s="55">
        <v>2031.0</v>
      </c>
      <c r="C10" s="56">
        <f t="shared" si="4"/>
        <v>55.06516281</v>
      </c>
      <c r="D10" s="57">
        <v>9.0</v>
      </c>
      <c r="E10" s="58">
        <v>2.0</v>
      </c>
      <c r="F10" s="63">
        <f t="shared" si="1"/>
        <v>11</v>
      </c>
      <c r="G10" s="64">
        <v>4.5</v>
      </c>
      <c r="H10" s="65">
        <v>0.6</v>
      </c>
      <c r="I10" s="80">
        <f t="shared" si="5"/>
        <v>2.280975391</v>
      </c>
      <c r="J10" s="81">
        <f t="shared" si="2"/>
        <v>8.780975391</v>
      </c>
      <c r="K10" s="71">
        <v>0.2</v>
      </c>
      <c r="L10" s="75">
        <f t="shared" si="3"/>
        <v>7.024780313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7" t="s">
        <v>65</v>
      </c>
      <c r="B11" s="55">
        <v>2032.0</v>
      </c>
      <c r="C11" s="56">
        <f t="shared" si="4"/>
        <v>62.08994313</v>
      </c>
      <c r="D11" s="57">
        <v>9.0</v>
      </c>
      <c r="E11" s="58">
        <v>2.0</v>
      </c>
      <c r="F11" s="63">
        <f t="shared" si="1"/>
        <v>11</v>
      </c>
      <c r="G11" s="64">
        <v>4.5</v>
      </c>
      <c r="H11" s="65">
        <v>0.6</v>
      </c>
      <c r="I11" s="80">
        <f t="shared" si="5"/>
        <v>2.643127815</v>
      </c>
      <c r="J11" s="81">
        <f t="shared" si="2"/>
        <v>9.143127815</v>
      </c>
      <c r="K11" s="71">
        <v>0.2</v>
      </c>
      <c r="L11" s="75">
        <f t="shared" si="3"/>
        <v>7.314502252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7" t="s">
        <v>66</v>
      </c>
      <c r="B12" s="55">
        <v>2033.0</v>
      </c>
      <c r="C12" s="56">
        <f t="shared" si="4"/>
        <v>69.40444538</v>
      </c>
      <c r="D12" s="57">
        <v>9.0</v>
      </c>
      <c r="E12" s="58">
        <v>2.0</v>
      </c>
      <c r="F12" s="63">
        <f t="shared" si="1"/>
        <v>11</v>
      </c>
      <c r="G12" s="64">
        <v>4.5</v>
      </c>
      <c r="H12" s="65">
        <v>0.6</v>
      </c>
      <c r="I12" s="80">
        <f t="shared" si="5"/>
        <v>2.98031727</v>
      </c>
      <c r="J12" s="81">
        <f t="shared" si="2"/>
        <v>9.48031727</v>
      </c>
      <c r="K12" s="71">
        <v>0.2</v>
      </c>
      <c r="L12" s="75">
        <f t="shared" si="3"/>
        <v>7.584253816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7" t="s">
        <v>70</v>
      </c>
      <c r="B13" s="55">
        <v>2034.0</v>
      </c>
      <c r="C13" s="56">
        <f t="shared" si="4"/>
        <v>76.9886992</v>
      </c>
      <c r="D13" s="57">
        <v>8.0</v>
      </c>
      <c r="E13" s="58">
        <v>3.0</v>
      </c>
      <c r="F13" s="63">
        <f t="shared" si="1"/>
        <v>11</v>
      </c>
      <c r="G13" s="64">
        <v>5.0</v>
      </c>
      <c r="H13" s="65">
        <v>0.6</v>
      </c>
      <c r="I13" s="80">
        <f t="shared" si="5"/>
        <v>3.331413378</v>
      </c>
      <c r="J13" s="81">
        <f t="shared" si="2"/>
        <v>9.331413378</v>
      </c>
      <c r="K13" s="71">
        <v>0.2</v>
      </c>
      <c r="L13" s="75">
        <f t="shared" si="3"/>
        <v>7.465130703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7" t="s">
        <v>74</v>
      </c>
      <c r="B14" s="55">
        <v>2035.0</v>
      </c>
      <c r="C14" s="56">
        <f t="shared" si="4"/>
        <v>84.4538299</v>
      </c>
      <c r="D14" s="57">
        <v>6.0</v>
      </c>
      <c r="E14" s="58">
        <v>3.0</v>
      </c>
      <c r="F14" s="63">
        <f t="shared" si="1"/>
        <v>9</v>
      </c>
      <c r="G14" s="64">
        <v>5.0</v>
      </c>
      <c r="H14" s="65">
        <v>0.6</v>
      </c>
      <c r="I14" s="80">
        <f t="shared" si="5"/>
        <v>3.695457561</v>
      </c>
      <c r="J14" s="81">
        <f t="shared" si="2"/>
        <v>7.695457561</v>
      </c>
      <c r="K14" s="71">
        <v>0.2</v>
      </c>
      <c r="L14" s="75">
        <f t="shared" si="3"/>
        <v>6.156366049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7" t="s">
        <v>78</v>
      </c>
      <c r="B15" s="55">
        <v>2036.0</v>
      </c>
      <c r="C15" s="56">
        <f t="shared" si="4"/>
        <v>90.61019595</v>
      </c>
      <c r="D15" s="57">
        <v>5.0</v>
      </c>
      <c r="E15" s="58">
        <v>3.0</v>
      </c>
      <c r="F15" s="63">
        <f t="shared" si="1"/>
        <v>8</v>
      </c>
      <c r="G15" s="64">
        <v>5.5</v>
      </c>
      <c r="H15" s="65">
        <v>0.6</v>
      </c>
      <c r="I15" s="80">
        <f t="shared" si="5"/>
        <v>4.053783835</v>
      </c>
      <c r="J15" s="81">
        <f t="shared" si="2"/>
        <v>6.553783835</v>
      </c>
      <c r="K15" s="71">
        <v>0.2</v>
      </c>
      <c r="L15" s="75">
        <f t="shared" si="3"/>
        <v>5.243027068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7" t="s">
        <v>79</v>
      </c>
      <c r="B16" s="55">
        <v>2037.0</v>
      </c>
      <c r="C16" s="56">
        <f t="shared" si="4"/>
        <v>95.85322301</v>
      </c>
      <c r="D16" s="57">
        <v>5.0</v>
      </c>
      <c r="E16" s="58">
        <v>3.0</v>
      </c>
      <c r="F16" s="63">
        <f t="shared" si="1"/>
        <v>8</v>
      </c>
      <c r="G16" s="64">
        <v>6.0</v>
      </c>
      <c r="H16" s="65">
        <v>0.6</v>
      </c>
      <c r="I16" s="80">
        <f t="shared" si="5"/>
        <v>4.349289405</v>
      </c>
      <c r="J16" s="81">
        <f t="shared" si="2"/>
        <v>6.349289405</v>
      </c>
      <c r="K16" s="71">
        <v>0.2</v>
      </c>
      <c r="L16" s="75">
        <f t="shared" si="3"/>
        <v>5.079431524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7" t="s">
        <v>84</v>
      </c>
      <c r="B17" s="55">
        <v>2038.0</v>
      </c>
      <c r="C17" s="56">
        <f t="shared" si="4"/>
        <v>100.9326545</v>
      </c>
      <c r="D17" s="57">
        <v>4.0</v>
      </c>
      <c r="E17" s="58">
        <v>3.0</v>
      </c>
      <c r="F17" s="63">
        <f t="shared" si="1"/>
        <v>7</v>
      </c>
      <c r="G17" s="64">
        <v>6.0</v>
      </c>
      <c r="H17" s="65">
        <v>0.6</v>
      </c>
      <c r="I17" s="80">
        <f t="shared" si="5"/>
        <v>4.600954705</v>
      </c>
      <c r="J17" s="81">
        <f t="shared" si="2"/>
        <v>5.600954705</v>
      </c>
      <c r="K17" s="71">
        <v>0.2</v>
      </c>
      <c r="L17" s="75">
        <f t="shared" si="3"/>
        <v>4.480763764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7" t="s">
        <v>89</v>
      </c>
      <c r="B18" s="55">
        <v>2039.0</v>
      </c>
      <c r="C18" s="56">
        <f t="shared" si="4"/>
        <v>105.4134183</v>
      </c>
      <c r="D18" s="57">
        <v>4.0</v>
      </c>
      <c r="E18" s="58">
        <v>2.0</v>
      </c>
      <c r="F18" s="63">
        <f t="shared" si="1"/>
        <v>6</v>
      </c>
      <c r="G18" s="64">
        <v>6.0</v>
      </c>
      <c r="H18" s="65">
        <v>0.6</v>
      </c>
      <c r="I18" s="80">
        <f t="shared" si="5"/>
        <v>4.844767418</v>
      </c>
      <c r="J18" s="81">
        <f t="shared" si="2"/>
        <v>4.844767418</v>
      </c>
      <c r="K18" s="71">
        <v>0.2</v>
      </c>
      <c r="L18" s="75">
        <f t="shared" si="3"/>
        <v>3.875813934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7" t="s">
        <v>90</v>
      </c>
      <c r="B19" s="55">
        <v>2040.0</v>
      </c>
      <c r="C19" s="56">
        <f t="shared" si="4"/>
        <v>109.2892322</v>
      </c>
      <c r="D19" s="57">
        <v>3.0</v>
      </c>
      <c r="E19" s="58">
        <v>2.0</v>
      </c>
      <c r="F19" s="63">
        <f t="shared" si="1"/>
        <v>5</v>
      </c>
      <c r="G19" s="64">
        <v>6.0</v>
      </c>
      <c r="H19" s="65">
        <v>0.6</v>
      </c>
      <c r="I19" s="80">
        <f t="shared" si="5"/>
        <v>5.059844079</v>
      </c>
      <c r="J19" s="81">
        <f t="shared" si="2"/>
        <v>4.059844079</v>
      </c>
      <c r="K19" s="71">
        <v>0.2</v>
      </c>
      <c r="L19" s="75">
        <f t="shared" si="3"/>
        <v>3.247875263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7" t="s">
        <v>95</v>
      </c>
      <c r="B20" s="55">
        <v>2041.0</v>
      </c>
      <c r="C20" s="56">
        <f t="shared" si="4"/>
        <v>112.5371075</v>
      </c>
      <c r="D20" s="57">
        <v>3.0</v>
      </c>
      <c r="E20" s="58">
        <v>2.0</v>
      </c>
      <c r="F20" s="63">
        <f t="shared" si="1"/>
        <v>5</v>
      </c>
      <c r="G20" s="64">
        <v>6.0</v>
      </c>
      <c r="H20" s="65">
        <v>0.6</v>
      </c>
      <c r="I20" s="80">
        <f t="shared" si="5"/>
        <v>5.245883147</v>
      </c>
      <c r="J20" s="81">
        <f t="shared" si="2"/>
        <v>4.245883147</v>
      </c>
      <c r="K20" s="71">
        <v>0.2</v>
      </c>
      <c r="L20" s="75">
        <f t="shared" si="3"/>
        <v>3.396706518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7" t="s">
        <v>97</v>
      </c>
      <c r="B21" s="55">
        <v>2042.0</v>
      </c>
      <c r="C21" s="56">
        <f t="shared" si="4"/>
        <v>115.933814</v>
      </c>
      <c r="D21" s="57">
        <v>3.0</v>
      </c>
      <c r="E21" s="58">
        <v>2.0</v>
      </c>
      <c r="F21" s="63">
        <f t="shared" si="1"/>
        <v>5</v>
      </c>
      <c r="G21" s="64">
        <v>6.0</v>
      </c>
      <c r="H21" s="65">
        <v>0.6</v>
      </c>
      <c r="I21" s="80">
        <f t="shared" si="5"/>
        <v>5.40178116</v>
      </c>
      <c r="J21" s="81">
        <f t="shared" si="2"/>
        <v>4.40178116</v>
      </c>
      <c r="K21" s="71">
        <v>0.2</v>
      </c>
      <c r="L21" s="75">
        <f t="shared" si="3"/>
        <v>3.521424928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7" t="s">
        <v>101</v>
      </c>
      <c r="B22" s="55">
        <v>2043.0</v>
      </c>
      <c r="C22" s="56">
        <f t="shared" si="4"/>
        <v>119.4552389</v>
      </c>
      <c r="D22" s="57">
        <v>2.0</v>
      </c>
      <c r="E22" s="58">
        <v>2.0</v>
      </c>
      <c r="F22" s="63">
        <f t="shared" si="1"/>
        <v>4</v>
      </c>
      <c r="G22" s="64">
        <v>6.0</v>
      </c>
      <c r="H22" s="65">
        <v>0.7</v>
      </c>
      <c r="I22" s="80">
        <f t="shared" si="5"/>
        <v>6.492293585</v>
      </c>
      <c r="J22" s="81">
        <f t="shared" si="2"/>
        <v>4.492293585</v>
      </c>
      <c r="K22" s="71">
        <v>0.2</v>
      </c>
      <c r="L22" s="75">
        <f t="shared" si="3"/>
        <v>3.593834868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7" t="s">
        <v>105</v>
      </c>
      <c r="B23" s="55">
        <v>2044.0</v>
      </c>
      <c r="C23" s="56">
        <f t="shared" si="4"/>
        <v>123.0490738</v>
      </c>
      <c r="D23" s="57">
        <v>1.0</v>
      </c>
      <c r="E23" s="58">
        <v>1.0</v>
      </c>
      <c r="F23" s="63">
        <f t="shared" si="1"/>
        <v>2</v>
      </c>
      <c r="G23" s="64">
        <v>6.0</v>
      </c>
      <c r="H23" s="65">
        <v>0.7</v>
      </c>
      <c r="I23" s="80">
        <f t="shared" si="5"/>
        <v>6.689493381</v>
      </c>
      <c r="J23" s="81">
        <f t="shared" si="2"/>
        <v>2.689493381</v>
      </c>
      <c r="K23" s="71">
        <v>0.2</v>
      </c>
      <c r="L23" s="75">
        <f t="shared" si="3"/>
        <v>2.151594705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7" t="s">
        <v>106</v>
      </c>
      <c r="B24" s="55">
        <v>2045.0</v>
      </c>
      <c r="C24" s="56">
        <f t="shared" si="4"/>
        <v>125.2006685</v>
      </c>
      <c r="D24" s="57">
        <v>1.0</v>
      </c>
      <c r="E24" s="58">
        <v>1.0</v>
      </c>
      <c r="F24" s="63">
        <f t="shared" si="1"/>
        <v>2</v>
      </c>
      <c r="G24" s="64">
        <v>6.0</v>
      </c>
      <c r="H24" s="65">
        <v>0.7</v>
      </c>
      <c r="I24" s="80">
        <f t="shared" si="5"/>
        <v>6.890748134</v>
      </c>
      <c r="J24" s="81">
        <f t="shared" si="2"/>
        <v>2.890748134</v>
      </c>
      <c r="K24" s="71">
        <v>0.2</v>
      </c>
      <c r="L24" s="75">
        <f t="shared" si="3"/>
        <v>2.312598507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7" t="s">
        <v>107</v>
      </c>
      <c r="B25" s="55">
        <v>2046.0</v>
      </c>
      <c r="C25" s="56">
        <f t="shared" si="4"/>
        <v>127.513267</v>
      </c>
      <c r="D25" s="57">
        <v>1.0</v>
      </c>
      <c r="E25" s="58">
        <v>1.0</v>
      </c>
      <c r="F25" s="63">
        <f t="shared" si="1"/>
        <v>2</v>
      </c>
      <c r="G25" s="64">
        <v>6.0</v>
      </c>
      <c r="H25" s="65">
        <v>0.7</v>
      </c>
      <c r="I25" s="80">
        <f t="shared" si="5"/>
        <v>7.011237437</v>
      </c>
      <c r="J25" s="81">
        <f t="shared" si="2"/>
        <v>3.011237437</v>
      </c>
      <c r="K25" s="71">
        <v>0.2</v>
      </c>
      <c r="L25" s="75">
        <f t="shared" si="3"/>
        <v>2.40898995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7" t="s">
        <v>109</v>
      </c>
      <c r="B26" s="55">
        <v>2047.0</v>
      </c>
      <c r="C26" s="56">
        <f t="shared" si="4"/>
        <v>129.922257</v>
      </c>
      <c r="D26" s="57">
        <v>1.0</v>
      </c>
      <c r="E26" s="58">
        <v>1.0</v>
      </c>
      <c r="F26" s="63">
        <f t="shared" si="1"/>
        <v>2</v>
      </c>
      <c r="G26" s="64">
        <v>6.0</v>
      </c>
      <c r="H26" s="65">
        <v>0.8</v>
      </c>
      <c r="I26" s="80">
        <f t="shared" si="5"/>
        <v>8.16084909</v>
      </c>
      <c r="J26" s="81">
        <f t="shared" si="2"/>
        <v>4.16084909</v>
      </c>
      <c r="K26" s="71">
        <v>0.2</v>
      </c>
      <c r="L26" s="75">
        <f t="shared" si="3"/>
        <v>3.328679272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7" t="s">
        <v>110</v>
      </c>
      <c r="B27" s="55">
        <v>2048.0</v>
      </c>
      <c r="C27" s="56">
        <f t="shared" si="4"/>
        <v>133.2509362</v>
      </c>
      <c r="D27" s="57">
        <v>1.0</v>
      </c>
      <c r="E27" s="58">
        <v>1.0</v>
      </c>
      <c r="F27" s="63">
        <f t="shared" si="1"/>
        <v>2</v>
      </c>
      <c r="G27" s="64">
        <v>7.0</v>
      </c>
      <c r="H27" s="65">
        <v>0.8</v>
      </c>
      <c r="I27" s="80">
        <f t="shared" si="5"/>
        <v>8.315024446</v>
      </c>
      <c r="J27" s="81">
        <f t="shared" si="2"/>
        <v>3.315024446</v>
      </c>
      <c r="K27" s="71">
        <v>0.2</v>
      </c>
      <c r="L27" s="75">
        <f t="shared" si="3"/>
        <v>2.652019557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7" t="s">
        <v>111</v>
      </c>
      <c r="B28" s="55">
        <v>2049.0</v>
      </c>
      <c r="C28" s="56">
        <f t="shared" si="4"/>
        <v>135.9029558</v>
      </c>
      <c r="D28" s="57">
        <v>1.0</v>
      </c>
      <c r="E28" s="58">
        <v>1.0</v>
      </c>
      <c r="F28" s="63">
        <f t="shared" si="1"/>
        <v>2</v>
      </c>
      <c r="G28" s="64">
        <v>7.0</v>
      </c>
      <c r="H28" s="65">
        <v>0.8</v>
      </c>
      <c r="I28" s="80">
        <f t="shared" si="5"/>
        <v>8.52805992</v>
      </c>
      <c r="J28" s="81">
        <f t="shared" si="2"/>
        <v>3.52805992</v>
      </c>
      <c r="K28" s="71">
        <v>0.2</v>
      </c>
      <c r="L28" s="75">
        <f t="shared" si="3"/>
        <v>2.822447936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7" t="s">
        <v>112</v>
      </c>
      <c r="B29" s="55">
        <v>2050.0</v>
      </c>
      <c r="C29" s="56">
        <f t="shared" si="4"/>
        <v>138.7254037</v>
      </c>
      <c r="D29" s="57">
        <v>1.0</v>
      </c>
      <c r="E29" s="58">
        <v>1.0</v>
      </c>
      <c r="F29" s="63">
        <f t="shared" si="1"/>
        <v>2</v>
      </c>
      <c r="G29" s="64">
        <v>7.0</v>
      </c>
      <c r="H29" s="65">
        <v>0.8</v>
      </c>
      <c r="I29" s="80">
        <f t="shared" si="5"/>
        <v>8.697789171</v>
      </c>
      <c r="J29" s="81">
        <f t="shared" si="2"/>
        <v>3.697789171</v>
      </c>
      <c r="K29" s="71">
        <v>0.2</v>
      </c>
      <c r="L29" s="75">
        <f t="shared" si="3"/>
        <v>2.958231337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7" t="s">
        <v>114</v>
      </c>
      <c r="B30" s="55">
        <v>2051.0</v>
      </c>
      <c r="C30" s="56">
        <f t="shared" si="4"/>
        <v>141.6836351</v>
      </c>
      <c r="D30" s="57">
        <v>0.0</v>
      </c>
      <c r="E30" s="58">
        <v>0.0</v>
      </c>
      <c r="F30" s="63">
        <f t="shared" si="1"/>
        <v>0</v>
      </c>
      <c r="G30" s="64">
        <v>7.0</v>
      </c>
      <c r="H30" s="65">
        <v>0.8</v>
      </c>
      <c r="I30" s="80">
        <f t="shared" si="5"/>
        <v>8.878425839</v>
      </c>
      <c r="J30" s="81">
        <f t="shared" si="2"/>
        <v>1.878425839</v>
      </c>
      <c r="K30" s="71">
        <v>0.1</v>
      </c>
      <c r="L30" s="75">
        <f t="shared" si="3"/>
        <v>1.690583255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7" t="s">
        <v>116</v>
      </c>
      <c r="B31" s="55">
        <v>2052.0</v>
      </c>
      <c r="C31" s="56">
        <f t="shared" si="4"/>
        <v>143.3742183</v>
      </c>
      <c r="D31" s="57">
        <v>0.0</v>
      </c>
      <c r="E31" s="58">
        <v>0.0</v>
      </c>
      <c r="F31" s="63">
        <f t="shared" si="1"/>
        <v>0</v>
      </c>
      <c r="G31" s="64">
        <v>7.0</v>
      </c>
      <c r="H31" s="65">
        <v>0.8</v>
      </c>
      <c r="I31" s="80">
        <f t="shared" si="5"/>
        <v>9.067752645</v>
      </c>
      <c r="J31" s="81">
        <f t="shared" si="2"/>
        <v>2.067752645</v>
      </c>
      <c r="K31" s="71">
        <v>0.2</v>
      </c>
      <c r="L31" s="75">
        <f t="shared" si="3"/>
        <v>1.654202116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7" t="s">
        <v>119</v>
      </c>
      <c r="B32" s="55">
        <v>2053.0</v>
      </c>
      <c r="C32" s="56">
        <f t="shared" si="4"/>
        <v>145.0284204</v>
      </c>
      <c r="D32" s="57">
        <v>0.0</v>
      </c>
      <c r="E32" s="58">
        <v>0.0</v>
      </c>
      <c r="F32" s="63">
        <f t="shared" si="1"/>
        <v>0</v>
      </c>
      <c r="G32" s="64">
        <v>7.0</v>
      </c>
      <c r="H32" s="65">
        <v>0.8</v>
      </c>
      <c r="I32" s="80">
        <f t="shared" si="5"/>
        <v>9.175949973</v>
      </c>
      <c r="J32" s="81">
        <f t="shared" si="2"/>
        <v>2.175949973</v>
      </c>
      <c r="K32" s="71">
        <v>0.2</v>
      </c>
      <c r="L32" s="75">
        <f t="shared" si="3"/>
        <v>1.740759979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7" t="s">
        <v>125</v>
      </c>
      <c r="B33" s="55">
        <v>2054.0</v>
      </c>
      <c r="C33" s="56">
        <f t="shared" si="4"/>
        <v>146.7691804</v>
      </c>
      <c r="D33" s="57">
        <v>0.0</v>
      </c>
      <c r="E33" s="58">
        <v>0.0</v>
      </c>
      <c r="F33" s="63">
        <f t="shared" si="1"/>
        <v>0</v>
      </c>
      <c r="G33" s="64">
        <v>7.0</v>
      </c>
      <c r="H33" s="65">
        <v>0.8</v>
      </c>
      <c r="I33" s="80">
        <f t="shared" si="5"/>
        <v>9.281818909</v>
      </c>
      <c r="J33" s="81">
        <f t="shared" si="2"/>
        <v>2.281818909</v>
      </c>
      <c r="K33" s="71">
        <v>0.2</v>
      </c>
      <c r="L33" s="75">
        <f t="shared" si="3"/>
        <v>1.825455127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7" t="s">
        <v>131</v>
      </c>
      <c r="B34" s="55">
        <v>2055.0</v>
      </c>
      <c r="C34" s="56">
        <f t="shared" si="4"/>
        <v>148.5946356</v>
      </c>
      <c r="D34" s="57">
        <v>0.0</v>
      </c>
      <c r="E34" s="58">
        <v>0.0</v>
      </c>
      <c r="F34" s="63">
        <f t="shared" si="1"/>
        <v>0</v>
      </c>
      <c r="G34" s="64">
        <v>7.0</v>
      </c>
      <c r="H34" s="65">
        <v>0.8</v>
      </c>
      <c r="I34" s="80">
        <f t="shared" si="5"/>
        <v>9.393227547</v>
      </c>
      <c r="J34" s="81">
        <f t="shared" si="2"/>
        <v>2.393227547</v>
      </c>
      <c r="K34" s="71">
        <v>0.2</v>
      </c>
      <c r="L34" s="75">
        <f t="shared" si="3"/>
        <v>1.914582038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9"/>
      <c r="B35" s="9"/>
      <c r="C35" s="113" t="s">
        <v>132</v>
      </c>
      <c r="F35" s="9"/>
      <c r="G35" s="9"/>
      <c r="H35" s="23"/>
      <c r="I35" s="113" t="s">
        <v>132</v>
      </c>
      <c r="K35" s="9"/>
      <c r="L35" s="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9"/>
      <c r="B36" s="9"/>
      <c r="C36" s="113" t="s">
        <v>133</v>
      </c>
      <c r="F36" s="9"/>
      <c r="G36" s="9"/>
      <c r="H36" s="23"/>
      <c r="I36" s="27" t="s">
        <v>134</v>
      </c>
      <c r="K36" s="9"/>
      <c r="L36" s="9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9"/>
      <c r="B37" s="9"/>
      <c r="C37" s="114">
        <f>C34/(1+0.02)^30</f>
        <v>82.03477255</v>
      </c>
      <c r="D37" s="9"/>
      <c r="E37" s="9"/>
      <c r="F37" s="9"/>
      <c r="G37" s="9"/>
      <c r="H37" s="23"/>
      <c r="I37" s="114">
        <f>I34/(1+0.02)^30</f>
        <v>5.185727482</v>
      </c>
      <c r="J37" s="9"/>
      <c r="K37" s="9"/>
      <c r="L37" s="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3"/>
      <c r="D38" s="1"/>
      <c r="E38" s="1"/>
      <c r="F38" s="1"/>
      <c r="G38" s="1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3"/>
      <c r="D39" s="1"/>
      <c r="E39" s="1"/>
      <c r="F39" s="1"/>
      <c r="G39" s="1"/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3"/>
      <c r="D40" s="1"/>
      <c r="E40" s="1"/>
      <c r="F40" s="1"/>
      <c r="G40" s="1"/>
      <c r="H40" s="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3"/>
      <c r="D41" s="1"/>
      <c r="E41" s="1"/>
      <c r="F41" s="1"/>
      <c r="G41" s="1"/>
      <c r="H41" s="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3"/>
      <c r="D42" s="1"/>
      <c r="E42" s="1"/>
      <c r="F42" s="1"/>
      <c r="G42" s="1"/>
      <c r="H42" s="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3"/>
      <c r="D43" s="1"/>
      <c r="E43" s="1"/>
      <c r="F43" s="1"/>
      <c r="G43" s="1"/>
      <c r="H43" s="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3"/>
      <c r="D44" s="1"/>
      <c r="E44" s="1"/>
      <c r="F44" s="1"/>
      <c r="G44" s="1"/>
      <c r="H44" s="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3"/>
      <c r="D45" s="1"/>
      <c r="E45" s="1"/>
      <c r="F45" s="1"/>
      <c r="G45" s="1"/>
      <c r="H45" s="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3"/>
      <c r="D46" s="1"/>
      <c r="E46" s="1"/>
      <c r="F46" s="1"/>
      <c r="G46" s="1"/>
      <c r="H46" s="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"/>
      <c r="D47" s="1"/>
      <c r="E47" s="1"/>
      <c r="F47" s="1"/>
      <c r="G47" s="1"/>
      <c r="H47" s="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3"/>
      <c r="D48" s="1"/>
      <c r="E48" s="1"/>
      <c r="F48" s="1"/>
      <c r="G48" s="1"/>
      <c r="H48" s="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3"/>
      <c r="D49" s="1"/>
      <c r="E49" s="1"/>
      <c r="F49" s="1"/>
      <c r="G49" s="1"/>
      <c r="H49" s="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3"/>
      <c r="D50" s="1"/>
      <c r="E50" s="1"/>
      <c r="F50" s="1"/>
      <c r="G50" s="1"/>
      <c r="H50" s="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3"/>
      <c r="D51" s="1"/>
      <c r="E51" s="1"/>
      <c r="F51" s="1"/>
      <c r="G51" s="1"/>
      <c r="H51" s="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3"/>
      <c r="D52" s="1"/>
      <c r="E52" s="1"/>
      <c r="F52" s="1"/>
      <c r="G52" s="1"/>
      <c r="H52" s="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3"/>
      <c r="D53" s="1"/>
      <c r="E53" s="1"/>
      <c r="F53" s="1"/>
      <c r="G53" s="1"/>
      <c r="H53" s="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3"/>
      <c r="D54" s="1"/>
      <c r="E54" s="1"/>
      <c r="F54" s="1"/>
      <c r="G54" s="1"/>
      <c r="H54" s="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3"/>
      <c r="D55" s="1"/>
      <c r="E55" s="1"/>
      <c r="F55" s="1"/>
      <c r="G55" s="1"/>
      <c r="H55" s="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3"/>
      <c r="D56" s="1"/>
      <c r="E56" s="1"/>
      <c r="F56" s="1"/>
      <c r="G56" s="1"/>
      <c r="H56" s="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3"/>
      <c r="D57" s="1"/>
      <c r="E57" s="1"/>
      <c r="F57" s="1"/>
      <c r="G57" s="1"/>
      <c r="H57" s="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3"/>
      <c r="D58" s="1"/>
      <c r="E58" s="1"/>
      <c r="F58" s="1"/>
      <c r="G58" s="1"/>
      <c r="H58" s="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3"/>
      <c r="D59" s="1"/>
      <c r="E59" s="1"/>
      <c r="F59" s="1"/>
      <c r="G59" s="1"/>
      <c r="H59" s="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3"/>
      <c r="D60" s="1"/>
      <c r="E60" s="1"/>
      <c r="F60" s="1"/>
      <c r="G60" s="1"/>
      <c r="H60" s="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3"/>
      <c r="D61" s="1"/>
      <c r="E61" s="1"/>
      <c r="F61" s="1"/>
      <c r="G61" s="1"/>
      <c r="H61" s="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3"/>
      <c r="D62" s="1"/>
      <c r="E62" s="1"/>
      <c r="F62" s="1"/>
      <c r="G62" s="1"/>
      <c r="H62" s="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3"/>
      <c r="D63" s="1"/>
      <c r="E63" s="1"/>
      <c r="F63" s="1"/>
      <c r="G63" s="1"/>
      <c r="H63" s="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3"/>
      <c r="D64" s="1"/>
      <c r="E64" s="1"/>
      <c r="F64" s="1"/>
      <c r="G64" s="1"/>
      <c r="H64" s="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3"/>
      <c r="D65" s="1"/>
      <c r="E65" s="1"/>
      <c r="F65" s="1"/>
      <c r="G65" s="1"/>
      <c r="H65" s="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3"/>
      <c r="D66" s="1"/>
      <c r="E66" s="1"/>
      <c r="F66" s="1"/>
      <c r="G66" s="1"/>
      <c r="H66" s="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3"/>
      <c r="D67" s="1"/>
      <c r="E67" s="1"/>
      <c r="F67" s="1"/>
      <c r="G67" s="1"/>
      <c r="H67" s="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3"/>
      <c r="D68" s="1"/>
      <c r="E68" s="1"/>
      <c r="F68" s="1"/>
      <c r="G68" s="1"/>
      <c r="H68" s="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3"/>
      <c r="D69" s="1"/>
      <c r="E69" s="1"/>
      <c r="F69" s="1"/>
      <c r="G69" s="1"/>
      <c r="H69" s="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3"/>
      <c r="D70" s="1"/>
      <c r="E70" s="1"/>
      <c r="F70" s="1"/>
      <c r="G70" s="1"/>
      <c r="H70" s="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3"/>
      <c r="D71" s="1"/>
      <c r="E71" s="1"/>
      <c r="F71" s="1"/>
      <c r="G71" s="1"/>
      <c r="H71" s="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3"/>
      <c r="D72" s="1"/>
      <c r="E72" s="1"/>
      <c r="F72" s="1"/>
      <c r="G72" s="1"/>
      <c r="H72" s="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3"/>
      <c r="D73" s="1"/>
      <c r="E73" s="1"/>
      <c r="F73" s="1"/>
      <c r="G73" s="1"/>
      <c r="H73" s="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3"/>
      <c r="D74" s="1"/>
      <c r="E74" s="1"/>
      <c r="F74" s="1"/>
      <c r="G74" s="1"/>
      <c r="H74" s="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3"/>
      <c r="D75" s="1"/>
      <c r="E75" s="1"/>
      <c r="F75" s="1"/>
      <c r="G75" s="1"/>
      <c r="H75" s="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3"/>
      <c r="D76" s="1"/>
      <c r="E76" s="1"/>
      <c r="F76" s="1"/>
      <c r="G76" s="1"/>
      <c r="H76" s="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3"/>
      <c r="D77" s="1"/>
      <c r="E77" s="1"/>
      <c r="F77" s="1"/>
      <c r="G77" s="1"/>
      <c r="H77" s="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3"/>
      <c r="D78" s="1"/>
      <c r="E78" s="1"/>
      <c r="F78" s="1"/>
      <c r="G78" s="1"/>
      <c r="H78" s="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3"/>
      <c r="D79" s="1"/>
      <c r="E79" s="1"/>
      <c r="F79" s="1"/>
      <c r="G79" s="1"/>
      <c r="H79" s="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3"/>
      <c r="D80" s="1"/>
      <c r="E80" s="1"/>
      <c r="F80" s="1"/>
      <c r="G80" s="1"/>
      <c r="H80" s="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3"/>
      <c r="D81" s="1"/>
      <c r="E81" s="1"/>
      <c r="F81" s="1"/>
      <c r="G81" s="1"/>
      <c r="H81" s="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3"/>
      <c r="D82" s="1"/>
      <c r="E82" s="1"/>
      <c r="F82" s="1"/>
      <c r="G82" s="1"/>
      <c r="H82" s="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3"/>
      <c r="D83" s="1"/>
      <c r="E83" s="1"/>
      <c r="F83" s="1"/>
      <c r="G83" s="1"/>
      <c r="H83" s="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3"/>
      <c r="D84" s="1"/>
      <c r="E84" s="1"/>
      <c r="F84" s="1"/>
      <c r="G84" s="1"/>
      <c r="H84" s="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3"/>
      <c r="D85" s="1"/>
      <c r="E85" s="1"/>
      <c r="F85" s="1"/>
      <c r="G85" s="1"/>
      <c r="H85" s="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3"/>
      <c r="D86" s="1"/>
      <c r="E86" s="1"/>
      <c r="F86" s="1"/>
      <c r="G86" s="1"/>
      <c r="H86" s="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3"/>
      <c r="D87" s="1"/>
      <c r="E87" s="1"/>
      <c r="F87" s="1"/>
      <c r="G87" s="1"/>
      <c r="H87" s="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3"/>
      <c r="D88" s="1"/>
      <c r="E88" s="1"/>
      <c r="F88" s="1"/>
      <c r="G88" s="1"/>
      <c r="H88" s="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3"/>
      <c r="D89" s="1"/>
      <c r="E89" s="1"/>
      <c r="F89" s="1"/>
      <c r="G89" s="1"/>
      <c r="H89" s="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3"/>
      <c r="D90" s="1"/>
      <c r="E90" s="1"/>
      <c r="F90" s="1"/>
      <c r="G90" s="1"/>
      <c r="H90" s="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3"/>
      <c r="D91" s="1"/>
      <c r="E91" s="1"/>
      <c r="F91" s="1"/>
      <c r="G91" s="1"/>
      <c r="H91" s="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3"/>
      <c r="D92" s="1"/>
      <c r="E92" s="1"/>
      <c r="F92" s="1"/>
      <c r="G92" s="1"/>
      <c r="H92" s="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3"/>
      <c r="D93" s="1"/>
      <c r="E93" s="1"/>
      <c r="F93" s="1"/>
      <c r="G93" s="1"/>
      <c r="H93" s="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3"/>
      <c r="D94" s="1"/>
      <c r="E94" s="1"/>
      <c r="F94" s="1"/>
      <c r="G94" s="1"/>
      <c r="H94" s="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3"/>
      <c r="D95" s="1"/>
      <c r="E95" s="1"/>
      <c r="F95" s="1"/>
      <c r="G95" s="1"/>
      <c r="H95" s="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3"/>
      <c r="D96" s="1"/>
      <c r="E96" s="1"/>
      <c r="F96" s="1"/>
      <c r="G96" s="1"/>
      <c r="H96" s="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3"/>
      <c r="D97" s="1"/>
      <c r="E97" s="1"/>
      <c r="F97" s="1"/>
      <c r="G97" s="1"/>
      <c r="H97" s="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3"/>
      <c r="D98" s="1"/>
      <c r="E98" s="1"/>
      <c r="F98" s="1"/>
      <c r="G98" s="1"/>
      <c r="H98" s="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3"/>
      <c r="D99" s="1"/>
      <c r="E99" s="1"/>
      <c r="F99" s="1"/>
      <c r="G99" s="1"/>
      <c r="H99" s="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3"/>
      <c r="D100" s="1"/>
      <c r="E100" s="1"/>
      <c r="F100" s="1"/>
      <c r="G100" s="1"/>
      <c r="H100" s="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3"/>
      <c r="D101" s="1"/>
      <c r="E101" s="1"/>
      <c r="F101" s="1"/>
      <c r="G101" s="1"/>
      <c r="H101" s="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3"/>
      <c r="D102" s="1"/>
      <c r="E102" s="1"/>
      <c r="F102" s="1"/>
      <c r="G102" s="1"/>
      <c r="H102" s="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3"/>
      <c r="D103" s="1"/>
      <c r="E103" s="1"/>
      <c r="F103" s="1"/>
      <c r="G103" s="1"/>
      <c r="H103" s="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3"/>
      <c r="D104" s="1"/>
      <c r="E104" s="1"/>
      <c r="F104" s="1"/>
      <c r="G104" s="1"/>
      <c r="H104" s="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3"/>
      <c r="D105" s="1"/>
      <c r="E105" s="1"/>
      <c r="F105" s="1"/>
      <c r="G105" s="1"/>
      <c r="H105" s="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3"/>
      <c r="D106" s="1"/>
      <c r="E106" s="1"/>
      <c r="F106" s="1"/>
      <c r="G106" s="1"/>
      <c r="H106" s="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3"/>
      <c r="D107" s="1"/>
      <c r="E107" s="1"/>
      <c r="F107" s="1"/>
      <c r="G107" s="1"/>
      <c r="H107" s="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3"/>
      <c r="D108" s="1"/>
      <c r="E108" s="1"/>
      <c r="F108" s="1"/>
      <c r="G108" s="1"/>
      <c r="H108" s="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3"/>
      <c r="D109" s="1"/>
      <c r="E109" s="1"/>
      <c r="F109" s="1"/>
      <c r="G109" s="1"/>
      <c r="H109" s="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3"/>
      <c r="D110" s="1"/>
      <c r="E110" s="1"/>
      <c r="F110" s="1"/>
      <c r="G110" s="1"/>
      <c r="H110" s="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3"/>
      <c r="D111" s="1"/>
      <c r="E111" s="1"/>
      <c r="F111" s="1"/>
      <c r="G111" s="1"/>
      <c r="H111" s="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3"/>
      <c r="D112" s="1"/>
      <c r="E112" s="1"/>
      <c r="F112" s="1"/>
      <c r="G112" s="1"/>
      <c r="H112" s="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3"/>
      <c r="D113" s="1"/>
      <c r="E113" s="1"/>
      <c r="F113" s="1"/>
      <c r="G113" s="1"/>
      <c r="H113" s="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3"/>
      <c r="D114" s="1"/>
      <c r="E114" s="1"/>
      <c r="F114" s="1"/>
      <c r="G114" s="1"/>
      <c r="H114" s="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3"/>
      <c r="D115" s="1"/>
      <c r="E115" s="1"/>
      <c r="F115" s="1"/>
      <c r="G115" s="1"/>
      <c r="H115" s="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3"/>
      <c r="D116" s="1"/>
      <c r="E116" s="1"/>
      <c r="F116" s="1"/>
      <c r="G116" s="1"/>
      <c r="H116" s="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3"/>
      <c r="D117" s="1"/>
      <c r="E117" s="1"/>
      <c r="F117" s="1"/>
      <c r="G117" s="1"/>
      <c r="H117" s="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3"/>
      <c r="D118" s="1"/>
      <c r="E118" s="1"/>
      <c r="F118" s="1"/>
      <c r="G118" s="1"/>
      <c r="H118" s="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3"/>
      <c r="D119" s="1"/>
      <c r="E119" s="1"/>
      <c r="F119" s="1"/>
      <c r="G119" s="1"/>
      <c r="H119" s="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3"/>
      <c r="D120" s="1"/>
      <c r="E120" s="1"/>
      <c r="F120" s="1"/>
      <c r="G120" s="1"/>
      <c r="H120" s="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3"/>
      <c r="D121" s="1"/>
      <c r="E121" s="1"/>
      <c r="F121" s="1"/>
      <c r="G121" s="1"/>
      <c r="H121" s="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3"/>
      <c r="D122" s="1"/>
      <c r="E122" s="1"/>
      <c r="F122" s="1"/>
      <c r="G122" s="1"/>
      <c r="H122" s="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3"/>
      <c r="D123" s="1"/>
      <c r="E123" s="1"/>
      <c r="F123" s="1"/>
      <c r="G123" s="1"/>
      <c r="H123" s="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3"/>
      <c r="D124" s="1"/>
      <c r="E124" s="1"/>
      <c r="F124" s="1"/>
      <c r="G124" s="1"/>
      <c r="H124" s="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3"/>
      <c r="D125" s="1"/>
      <c r="E125" s="1"/>
      <c r="F125" s="1"/>
      <c r="G125" s="1"/>
      <c r="H125" s="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3"/>
      <c r="D126" s="1"/>
      <c r="E126" s="1"/>
      <c r="F126" s="1"/>
      <c r="G126" s="1"/>
      <c r="H126" s="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3"/>
      <c r="D127" s="1"/>
      <c r="E127" s="1"/>
      <c r="F127" s="1"/>
      <c r="G127" s="1"/>
      <c r="H127" s="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3"/>
      <c r="D128" s="1"/>
      <c r="E128" s="1"/>
      <c r="F128" s="1"/>
      <c r="G128" s="1"/>
      <c r="H128" s="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3"/>
      <c r="D129" s="1"/>
      <c r="E129" s="1"/>
      <c r="F129" s="1"/>
      <c r="G129" s="1"/>
      <c r="H129" s="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3"/>
      <c r="D130" s="1"/>
      <c r="E130" s="1"/>
      <c r="F130" s="1"/>
      <c r="G130" s="1"/>
      <c r="H130" s="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3"/>
      <c r="D131" s="1"/>
      <c r="E131" s="1"/>
      <c r="F131" s="1"/>
      <c r="G131" s="1"/>
      <c r="H131" s="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3"/>
      <c r="D132" s="1"/>
      <c r="E132" s="1"/>
      <c r="F132" s="1"/>
      <c r="G132" s="1"/>
      <c r="H132" s="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3"/>
      <c r="D133" s="1"/>
      <c r="E133" s="1"/>
      <c r="F133" s="1"/>
      <c r="G133" s="1"/>
      <c r="H133" s="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3"/>
      <c r="D134" s="1"/>
      <c r="E134" s="1"/>
      <c r="F134" s="1"/>
      <c r="G134" s="1"/>
      <c r="H134" s="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3"/>
      <c r="D135" s="1"/>
      <c r="E135" s="1"/>
      <c r="F135" s="1"/>
      <c r="G135" s="1"/>
      <c r="H135" s="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3"/>
      <c r="D136" s="1"/>
      <c r="E136" s="1"/>
      <c r="F136" s="1"/>
      <c r="G136" s="1"/>
      <c r="H136" s="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3"/>
      <c r="D137" s="1"/>
      <c r="E137" s="1"/>
      <c r="F137" s="1"/>
      <c r="G137" s="1"/>
      <c r="H137" s="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3"/>
      <c r="D138" s="1"/>
      <c r="E138" s="1"/>
      <c r="F138" s="1"/>
      <c r="G138" s="1"/>
      <c r="H138" s="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3"/>
      <c r="D139" s="1"/>
      <c r="E139" s="1"/>
      <c r="F139" s="1"/>
      <c r="G139" s="1"/>
      <c r="H139" s="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3"/>
      <c r="D140" s="1"/>
      <c r="E140" s="1"/>
      <c r="F140" s="1"/>
      <c r="G140" s="1"/>
      <c r="H140" s="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3"/>
      <c r="D141" s="1"/>
      <c r="E141" s="1"/>
      <c r="F141" s="1"/>
      <c r="G141" s="1"/>
      <c r="H141" s="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3"/>
      <c r="D142" s="1"/>
      <c r="E142" s="1"/>
      <c r="F142" s="1"/>
      <c r="G142" s="1"/>
      <c r="H142" s="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3"/>
      <c r="D143" s="1"/>
      <c r="E143" s="1"/>
      <c r="F143" s="1"/>
      <c r="G143" s="1"/>
      <c r="H143" s="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3"/>
      <c r="D144" s="1"/>
      <c r="E144" s="1"/>
      <c r="F144" s="1"/>
      <c r="G144" s="1"/>
      <c r="H144" s="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3"/>
      <c r="D145" s="1"/>
      <c r="E145" s="1"/>
      <c r="F145" s="1"/>
      <c r="G145" s="1"/>
      <c r="H145" s="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3"/>
      <c r="D146" s="1"/>
      <c r="E146" s="1"/>
      <c r="F146" s="1"/>
      <c r="G146" s="1"/>
      <c r="H146" s="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3"/>
      <c r="D147" s="1"/>
      <c r="E147" s="1"/>
      <c r="F147" s="1"/>
      <c r="G147" s="1"/>
      <c r="H147" s="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3"/>
      <c r="D148" s="1"/>
      <c r="E148" s="1"/>
      <c r="F148" s="1"/>
      <c r="G148" s="1"/>
      <c r="H148" s="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3"/>
      <c r="D149" s="1"/>
      <c r="E149" s="1"/>
      <c r="F149" s="1"/>
      <c r="G149" s="1"/>
      <c r="H149" s="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3"/>
      <c r="D150" s="1"/>
      <c r="E150" s="1"/>
      <c r="F150" s="1"/>
      <c r="G150" s="1"/>
      <c r="H150" s="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3"/>
      <c r="D151" s="1"/>
      <c r="E151" s="1"/>
      <c r="F151" s="1"/>
      <c r="G151" s="1"/>
      <c r="H151" s="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3"/>
      <c r="D152" s="1"/>
      <c r="E152" s="1"/>
      <c r="F152" s="1"/>
      <c r="G152" s="1"/>
      <c r="H152" s="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3"/>
      <c r="D153" s="1"/>
      <c r="E153" s="1"/>
      <c r="F153" s="1"/>
      <c r="G153" s="1"/>
      <c r="H153" s="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3"/>
      <c r="D154" s="1"/>
      <c r="E154" s="1"/>
      <c r="F154" s="1"/>
      <c r="G154" s="1"/>
      <c r="H154" s="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3"/>
      <c r="D155" s="1"/>
      <c r="E155" s="1"/>
      <c r="F155" s="1"/>
      <c r="G155" s="1"/>
      <c r="H155" s="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3"/>
      <c r="D156" s="1"/>
      <c r="E156" s="1"/>
      <c r="F156" s="1"/>
      <c r="G156" s="1"/>
      <c r="H156" s="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3"/>
      <c r="D157" s="1"/>
      <c r="E157" s="1"/>
      <c r="F157" s="1"/>
      <c r="G157" s="1"/>
      <c r="H157" s="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3"/>
      <c r="D158" s="1"/>
      <c r="E158" s="1"/>
      <c r="F158" s="1"/>
      <c r="G158" s="1"/>
      <c r="H158" s="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3"/>
      <c r="D159" s="1"/>
      <c r="E159" s="1"/>
      <c r="F159" s="1"/>
      <c r="G159" s="1"/>
      <c r="H159" s="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3"/>
      <c r="D160" s="1"/>
      <c r="E160" s="1"/>
      <c r="F160" s="1"/>
      <c r="G160" s="1"/>
      <c r="H160" s="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3"/>
      <c r="D161" s="1"/>
      <c r="E161" s="1"/>
      <c r="F161" s="1"/>
      <c r="G161" s="1"/>
      <c r="H161" s="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3"/>
      <c r="D162" s="1"/>
      <c r="E162" s="1"/>
      <c r="F162" s="1"/>
      <c r="G162" s="1"/>
      <c r="H162" s="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3"/>
      <c r="D163" s="1"/>
      <c r="E163" s="1"/>
      <c r="F163" s="1"/>
      <c r="G163" s="1"/>
      <c r="H163" s="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3"/>
      <c r="D164" s="1"/>
      <c r="E164" s="1"/>
      <c r="F164" s="1"/>
      <c r="G164" s="1"/>
      <c r="H164" s="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3"/>
      <c r="D165" s="1"/>
      <c r="E165" s="1"/>
      <c r="F165" s="1"/>
      <c r="G165" s="1"/>
      <c r="H165" s="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3"/>
      <c r="D166" s="1"/>
      <c r="E166" s="1"/>
      <c r="F166" s="1"/>
      <c r="G166" s="1"/>
      <c r="H166" s="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3"/>
      <c r="D167" s="1"/>
      <c r="E167" s="1"/>
      <c r="F167" s="1"/>
      <c r="G167" s="1"/>
      <c r="H167" s="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3"/>
      <c r="D168" s="1"/>
      <c r="E168" s="1"/>
      <c r="F168" s="1"/>
      <c r="G168" s="1"/>
      <c r="H168" s="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3"/>
      <c r="D169" s="1"/>
      <c r="E169" s="1"/>
      <c r="F169" s="1"/>
      <c r="G169" s="1"/>
      <c r="H169" s="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3"/>
      <c r="D170" s="1"/>
      <c r="E170" s="1"/>
      <c r="F170" s="1"/>
      <c r="G170" s="1"/>
      <c r="H170" s="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3"/>
      <c r="D171" s="1"/>
      <c r="E171" s="1"/>
      <c r="F171" s="1"/>
      <c r="G171" s="1"/>
      <c r="H171" s="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3"/>
      <c r="D172" s="1"/>
      <c r="E172" s="1"/>
      <c r="F172" s="1"/>
      <c r="G172" s="1"/>
      <c r="H172" s="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3"/>
      <c r="D173" s="1"/>
      <c r="E173" s="1"/>
      <c r="F173" s="1"/>
      <c r="G173" s="1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3"/>
      <c r="D174" s="1"/>
      <c r="E174" s="1"/>
      <c r="F174" s="1"/>
      <c r="G174" s="1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3"/>
      <c r="D175" s="1"/>
      <c r="E175" s="1"/>
      <c r="F175" s="1"/>
      <c r="G175" s="1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3"/>
      <c r="D176" s="1"/>
      <c r="E176" s="1"/>
      <c r="F176" s="1"/>
      <c r="G176" s="1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3"/>
      <c r="D177" s="1"/>
      <c r="E177" s="1"/>
      <c r="F177" s="1"/>
      <c r="G177" s="1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3"/>
      <c r="D178" s="1"/>
      <c r="E178" s="1"/>
      <c r="F178" s="1"/>
      <c r="G178" s="1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3"/>
      <c r="D179" s="1"/>
      <c r="E179" s="1"/>
      <c r="F179" s="1"/>
      <c r="G179" s="1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3"/>
      <c r="D180" s="1"/>
      <c r="E180" s="1"/>
      <c r="F180" s="1"/>
      <c r="G180" s="1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3"/>
      <c r="D181" s="1"/>
      <c r="E181" s="1"/>
      <c r="F181" s="1"/>
      <c r="G181" s="1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3"/>
      <c r="D182" s="1"/>
      <c r="E182" s="1"/>
      <c r="F182" s="1"/>
      <c r="G182" s="1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3"/>
      <c r="D183" s="1"/>
      <c r="E183" s="1"/>
      <c r="F183" s="1"/>
      <c r="G183" s="1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3"/>
      <c r="D184" s="1"/>
      <c r="E184" s="1"/>
      <c r="F184" s="1"/>
      <c r="G184" s="1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3"/>
      <c r="D185" s="1"/>
      <c r="E185" s="1"/>
      <c r="F185" s="1"/>
      <c r="G185" s="1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3"/>
      <c r="D186" s="1"/>
      <c r="E186" s="1"/>
      <c r="F186" s="1"/>
      <c r="G186" s="1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3"/>
      <c r="D187" s="1"/>
      <c r="E187" s="1"/>
      <c r="F187" s="1"/>
      <c r="G187" s="1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3"/>
      <c r="D188" s="1"/>
      <c r="E188" s="1"/>
      <c r="F188" s="1"/>
      <c r="G188" s="1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3"/>
      <c r="D189" s="1"/>
      <c r="E189" s="1"/>
      <c r="F189" s="1"/>
      <c r="G189" s="1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3"/>
      <c r="D190" s="1"/>
      <c r="E190" s="1"/>
      <c r="F190" s="1"/>
      <c r="G190" s="1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3"/>
      <c r="D191" s="1"/>
      <c r="E191" s="1"/>
      <c r="F191" s="1"/>
      <c r="G191" s="1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3"/>
      <c r="D192" s="1"/>
      <c r="E192" s="1"/>
      <c r="F192" s="1"/>
      <c r="G192" s="1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3"/>
      <c r="D193" s="1"/>
      <c r="E193" s="1"/>
      <c r="F193" s="1"/>
      <c r="G193" s="1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3"/>
      <c r="D194" s="1"/>
      <c r="E194" s="1"/>
      <c r="F194" s="1"/>
      <c r="G194" s="1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3"/>
      <c r="D195" s="1"/>
      <c r="E195" s="1"/>
      <c r="F195" s="1"/>
      <c r="G195" s="1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3"/>
      <c r="D196" s="1"/>
      <c r="E196" s="1"/>
      <c r="F196" s="1"/>
      <c r="G196" s="1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3"/>
      <c r="D197" s="1"/>
      <c r="E197" s="1"/>
      <c r="F197" s="1"/>
      <c r="G197" s="1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3"/>
      <c r="D198" s="1"/>
      <c r="E198" s="1"/>
      <c r="F198" s="1"/>
      <c r="G198" s="1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3"/>
      <c r="D199" s="1"/>
      <c r="E199" s="1"/>
      <c r="F199" s="1"/>
      <c r="G199" s="1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"/>
      <c r="D200" s="1"/>
      <c r="E200" s="1"/>
      <c r="F200" s="1"/>
      <c r="G200" s="1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"/>
      <c r="D201" s="1"/>
      <c r="E201" s="1"/>
      <c r="F201" s="1"/>
      <c r="G201" s="1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"/>
      <c r="D202" s="1"/>
      <c r="E202" s="1"/>
      <c r="F202" s="1"/>
      <c r="G202" s="1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3"/>
      <c r="D203" s="1"/>
      <c r="E203" s="1"/>
      <c r="F203" s="1"/>
      <c r="G203" s="1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3"/>
      <c r="D204" s="1"/>
      <c r="E204" s="1"/>
      <c r="F204" s="1"/>
      <c r="G204" s="1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3"/>
      <c r="D205" s="1"/>
      <c r="E205" s="1"/>
      <c r="F205" s="1"/>
      <c r="G205" s="1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3"/>
      <c r="D206" s="1"/>
      <c r="E206" s="1"/>
      <c r="F206" s="1"/>
      <c r="G206" s="1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3"/>
      <c r="D207" s="1"/>
      <c r="E207" s="1"/>
      <c r="F207" s="1"/>
      <c r="G207" s="1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"/>
      <c r="D208" s="1"/>
      <c r="E208" s="1"/>
      <c r="F208" s="1"/>
      <c r="G208" s="1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"/>
      <c r="D209" s="1"/>
      <c r="E209" s="1"/>
      <c r="F209" s="1"/>
      <c r="G209" s="1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"/>
      <c r="D210" s="1"/>
      <c r="E210" s="1"/>
      <c r="F210" s="1"/>
      <c r="G210" s="1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"/>
      <c r="D211" s="1"/>
      <c r="E211" s="1"/>
      <c r="F211" s="1"/>
      <c r="G211" s="1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"/>
      <c r="D212" s="1"/>
      <c r="E212" s="1"/>
      <c r="F212" s="1"/>
      <c r="G212" s="1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"/>
      <c r="D213" s="1"/>
      <c r="E213" s="1"/>
      <c r="F213" s="1"/>
      <c r="G213" s="1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"/>
      <c r="D214" s="1"/>
      <c r="E214" s="1"/>
      <c r="F214" s="1"/>
      <c r="G214" s="1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"/>
      <c r="D215" s="1"/>
      <c r="E215" s="1"/>
      <c r="F215" s="1"/>
      <c r="G215" s="1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"/>
      <c r="D216" s="1"/>
      <c r="E216" s="1"/>
      <c r="F216" s="1"/>
      <c r="G216" s="1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"/>
      <c r="D217" s="1"/>
      <c r="E217" s="1"/>
      <c r="F217" s="1"/>
      <c r="G217" s="1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"/>
      <c r="D218" s="1"/>
      <c r="E218" s="1"/>
      <c r="F218" s="1"/>
      <c r="G218" s="1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"/>
      <c r="D219" s="1"/>
      <c r="E219" s="1"/>
      <c r="F219" s="1"/>
      <c r="G219" s="1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"/>
      <c r="D220" s="1"/>
      <c r="E220" s="1"/>
      <c r="F220" s="1"/>
      <c r="G220" s="1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"/>
      <c r="D221" s="1"/>
      <c r="E221" s="1"/>
      <c r="F221" s="1"/>
      <c r="G221" s="1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"/>
      <c r="D222" s="1"/>
      <c r="E222" s="1"/>
      <c r="F222" s="1"/>
      <c r="G222" s="1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"/>
      <c r="D223" s="1"/>
      <c r="E223" s="1"/>
      <c r="F223" s="1"/>
      <c r="G223" s="1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"/>
      <c r="D224" s="1"/>
      <c r="E224" s="1"/>
      <c r="F224" s="1"/>
      <c r="G224" s="1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"/>
      <c r="D225" s="1"/>
      <c r="E225" s="1"/>
      <c r="F225" s="1"/>
      <c r="G225" s="1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"/>
      <c r="D226" s="1"/>
      <c r="E226" s="1"/>
      <c r="F226" s="1"/>
      <c r="G226" s="1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"/>
      <c r="D227" s="1"/>
      <c r="E227" s="1"/>
      <c r="F227" s="1"/>
      <c r="G227" s="1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"/>
      <c r="D228" s="1"/>
      <c r="E228" s="1"/>
      <c r="F228" s="1"/>
      <c r="G228" s="1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"/>
      <c r="D229" s="1"/>
      <c r="E229" s="1"/>
      <c r="F229" s="1"/>
      <c r="G229" s="1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"/>
      <c r="D230" s="1"/>
      <c r="E230" s="1"/>
      <c r="F230" s="1"/>
      <c r="G230" s="1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"/>
      <c r="D231" s="1"/>
      <c r="E231" s="1"/>
      <c r="F231" s="1"/>
      <c r="G231" s="1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"/>
      <c r="D232" s="1"/>
      <c r="E232" s="1"/>
      <c r="F232" s="1"/>
      <c r="G232" s="1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"/>
      <c r="D233" s="1"/>
      <c r="E233" s="1"/>
      <c r="F233" s="1"/>
      <c r="G233" s="1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"/>
      <c r="D234" s="1"/>
      <c r="E234" s="1"/>
      <c r="F234" s="1"/>
      <c r="G234" s="1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"/>
      <c r="D235" s="1"/>
      <c r="E235" s="1"/>
      <c r="F235" s="1"/>
      <c r="G235" s="1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"/>
      <c r="D236" s="1"/>
      <c r="E236" s="1"/>
      <c r="F236" s="1"/>
      <c r="G236" s="1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"/>
      <c r="D237" s="1"/>
      <c r="E237" s="1"/>
      <c r="F237" s="1"/>
      <c r="G237" s="1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"/>
      <c r="D238" s="1"/>
      <c r="E238" s="1"/>
      <c r="F238" s="1"/>
      <c r="G238" s="1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"/>
      <c r="D239" s="1"/>
      <c r="E239" s="1"/>
      <c r="F239" s="1"/>
      <c r="G239" s="1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"/>
      <c r="D240" s="1"/>
      <c r="E240" s="1"/>
      <c r="F240" s="1"/>
      <c r="G240" s="1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"/>
      <c r="D241" s="1"/>
      <c r="E241" s="1"/>
      <c r="F241" s="1"/>
      <c r="G241" s="1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"/>
      <c r="D242" s="1"/>
      <c r="E242" s="1"/>
      <c r="F242" s="1"/>
      <c r="G242" s="1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"/>
      <c r="D243" s="1"/>
      <c r="E243" s="1"/>
      <c r="F243" s="1"/>
      <c r="G243" s="1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"/>
      <c r="D244" s="1"/>
      <c r="E244" s="1"/>
      <c r="F244" s="1"/>
      <c r="G244" s="1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"/>
      <c r="D245" s="1"/>
      <c r="E245" s="1"/>
      <c r="F245" s="1"/>
      <c r="G245" s="1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"/>
      <c r="D246" s="1"/>
      <c r="E246" s="1"/>
      <c r="F246" s="1"/>
      <c r="G246" s="1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"/>
      <c r="D247" s="1"/>
      <c r="E247" s="1"/>
      <c r="F247" s="1"/>
      <c r="G247" s="1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"/>
      <c r="D248" s="1"/>
      <c r="E248" s="1"/>
      <c r="F248" s="1"/>
      <c r="G248" s="1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"/>
      <c r="D249" s="1"/>
      <c r="E249" s="1"/>
      <c r="F249" s="1"/>
      <c r="G249" s="1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"/>
      <c r="D250" s="1"/>
      <c r="E250" s="1"/>
      <c r="F250" s="1"/>
      <c r="G250" s="1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"/>
      <c r="D251" s="1"/>
      <c r="E251" s="1"/>
      <c r="F251" s="1"/>
      <c r="G251" s="1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"/>
      <c r="D252" s="1"/>
      <c r="E252" s="1"/>
      <c r="F252" s="1"/>
      <c r="G252" s="1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"/>
      <c r="D253" s="1"/>
      <c r="E253" s="1"/>
      <c r="F253" s="1"/>
      <c r="G253" s="1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"/>
      <c r="D254" s="1"/>
      <c r="E254" s="1"/>
      <c r="F254" s="1"/>
      <c r="G254" s="1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"/>
      <c r="D255" s="1"/>
      <c r="E255" s="1"/>
      <c r="F255" s="1"/>
      <c r="G255" s="1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"/>
      <c r="D256" s="1"/>
      <c r="E256" s="1"/>
      <c r="F256" s="1"/>
      <c r="G256" s="1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"/>
      <c r="D257" s="1"/>
      <c r="E257" s="1"/>
      <c r="F257" s="1"/>
      <c r="G257" s="1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"/>
      <c r="D258" s="1"/>
      <c r="E258" s="1"/>
      <c r="F258" s="1"/>
      <c r="G258" s="1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"/>
      <c r="D259" s="1"/>
      <c r="E259" s="1"/>
      <c r="F259" s="1"/>
      <c r="G259" s="1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"/>
      <c r="D260" s="1"/>
      <c r="E260" s="1"/>
      <c r="F260" s="1"/>
      <c r="G260" s="1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"/>
      <c r="D261" s="1"/>
      <c r="E261" s="1"/>
      <c r="F261" s="1"/>
      <c r="G261" s="1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"/>
      <c r="D262" s="1"/>
      <c r="E262" s="1"/>
      <c r="F262" s="1"/>
      <c r="G262" s="1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"/>
      <c r="D263" s="1"/>
      <c r="E263" s="1"/>
      <c r="F263" s="1"/>
      <c r="G263" s="1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"/>
      <c r="D264" s="1"/>
      <c r="E264" s="1"/>
      <c r="F264" s="1"/>
      <c r="G264" s="1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"/>
      <c r="D265" s="1"/>
      <c r="E265" s="1"/>
      <c r="F265" s="1"/>
      <c r="G265" s="1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"/>
      <c r="D266" s="1"/>
      <c r="E266" s="1"/>
      <c r="F266" s="1"/>
      <c r="G266" s="1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"/>
      <c r="D267" s="1"/>
      <c r="E267" s="1"/>
      <c r="F267" s="1"/>
      <c r="G267" s="1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"/>
      <c r="D268" s="1"/>
      <c r="E268" s="1"/>
      <c r="F268" s="1"/>
      <c r="G268" s="1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"/>
      <c r="D269" s="1"/>
      <c r="E269" s="1"/>
      <c r="F269" s="1"/>
      <c r="G269" s="1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"/>
      <c r="D270" s="1"/>
      <c r="E270" s="1"/>
      <c r="F270" s="1"/>
      <c r="G270" s="1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"/>
      <c r="D271" s="1"/>
      <c r="E271" s="1"/>
      <c r="F271" s="1"/>
      <c r="G271" s="1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"/>
      <c r="D272" s="1"/>
      <c r="E272" s="1"/>
      <c r="F272" s="1"/>
      <c r="G272" s="1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"/>
      <c r="D273" s="1"/>
      <c r="E273" s="1"/>
      <c r="F273" s="1"/>
      <c r="G273" s="1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"/>
      <c r="D274" s="1"/>
      <c r="E274" s="1"/>
      <c r="F274" s="1"/>
      <c r="G274" s="1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"/>
      <c r="D275" s="1"/>
      <c r="E275" s="1"/>
      <c r="F275" s="1"/>
      <c r="G275" s="1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"/>
      <c r="D276" s="1"/>
      <c r="E276" s="1"/>
      <c r="F276" s="1"/>
      <c r="G276" s="1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"/>
      <c r="D277" s="1"/>
      <c r="E277" s="1"/>
      <c r="F277" s="1"/>
      <c r="G277" s="1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"/>
      <c r="D278" s="1"/>
      <c r="E278" s="1"/>
      <c r="F278" s="1"/>
      <c r="G278" s="1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"/>
      <c r="D279" s="1"/>
      <c r="E279" s="1"/>
      <c r="F279" s="1"/>
      <c r="G279" s="1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"/>
      <c r="D280" s="1"/>
      <c r="E280" s="1"/>
      <c r="F280" s="1"/>
      <c r="G280" s="1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"/>
      <c r="D281" s="1"/>
      <c r="E281" s="1"/>
      <c r="F281" s="1"/>
      <c r="G281" s="1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"/>
      <c r="D282" s="1"/>
      <c r="E282" s="1"/>
      <c r="F282" s="1"/>
      <c r="G282" s="1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"/>
      <c r="D283" s="1"/>
      <c r="E283" s="1"/>
      <c r="F283" s="1"/>
      <c r="G283" s="1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"/>
      <c r="D284" s="1"/>
      <c r="E284" s="1"/>
      <c r="F284" s="1"/>
      <c r="G284" s="1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"/>
      <c r="D285" s="1"/>
      <c r="E285" s="1"/>
      <c r="F285" s="1"/>
      <c r="G285" s="1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"/>
      <c r="D286" s="1"/>
      <c r="E286" s="1"/>
      <c r="F286" s="1"/>
      <c r="G286" s="1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"/>
      <c r="D287" s="1"/>
      <c r="E287" s="1"/>
      <c r="F287" s="1"/>
      <c r="G287" s="1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"/>
      <c r="D288" s="1"/>
      <c r="E288" s="1"/>
      <c r="F288" s="1"/>
      <c r="G288" s="1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"/>
      <c r="D289" s="1"/>
      <c r="E289" s="1"/>
      <c r="F289" s="1"/>
      <c r="G289" s="1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"/>
      <c r="D290" s="1"/>
      <c r="E290" s="1"/>
      <c r="F290" s="1"/>
      <c r="G290" s="1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"/>
      <c r="D291" s="1"/>
      <c r="E291" s="1"/>
      <c r="F291" s="1"/>
      <c r="G291" s="1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"/>
      <c r="D292" s="1"/>
      <c r="E292" s="1"/>
      <c r="F292" s="1"/>
      <c r="G292" s="1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"/>
      <c r="D293" s="1"/>
      <c r="E293" s="1"/>
      <c r="F293" s="1"/>
      <c r="G293" s="1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"/>
      <c r="D294" s="1"/>
      <c r="E294" s="1"/>
      <c r="F294" s="1"/>
      <c r="G294" s="1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"/>
      <c r="D295" s="1"/>
      <c r="E295" s="1"/>
      <c r="F295" s="1"/>
      <c r="G295" s="1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"/>
      <c r="D296" s="1"/>
      <c r="E296" s="1"/>
      <c r="F296" s="1"/>
      <c r="G296" s="1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"/>
      <c r="D297" s="1"/>
      <c r="E297" s="1"/>
      <c r="F297" s="1"/>
      <c r="G297" s="1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"/>
      <c r="D298" s="1"/>
      <c r="E298" s="1"/>
      <c r="F298" s="1"/>
      <c r="G298" s="1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"/>
      <c r="D299" s="1"/>
      <c r="E299" s="1"/>
      <c r="F299" s="1"/>
      <c r="G299" s="1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"/>
      <c r="D300" s="1"/>
      <c r="E300" s="1"/>
      <c r="F300" s="1"/>
      <c r="G300" s="1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"/>
      <c r="D301" s="1"/>
      <c r="E301" s="1"/>
      <c r="F301" s="1"/>
      <c r="G301" s="1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"/>
      <c r="D302" s="1"/>
      <c r="E302" s="1"/>
      <c r="F302" s="1"/>
      <c r="G302" s="1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"/>
      <c r="D303" s="1"/>
      <c r="E303" s="1"/>
      <c r="F303" s="1"/>
      <c r="G303" s="1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"/>
      <c r="D304" s="1"/>
      <c r="E304" s="1"/>
      <c r="F304" s="1"/>
      <c r="G304" s="1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"/>
      <c r="D305" s="1"/>
      <c r="E305" s="1"/>
      <c r="F305" s="1"/>
      <c r="G305" s="1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"/>
      <c r="D306" s="1"/>
      <c r="E306" s="1"/>
      <c r="F306" s="1"/>
      <c r="G306" s="1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"/>
      <c r="D307" s="1"/>
      <c r="E307" s="1"/>
      <c r="F307" s="1"/>
      <c r="G307" s="1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"/>
      <c r="D308" s="1"/>
      <c r="E308" s="1"/>
      <c r="F308" s="1"/>
      <c r="G308" s="1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"/>
      <c r="D309" s="1"/>
      <c r="E309" s="1"/>
      <c r="F309" s="1"/>
      <c r="G309" s="1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"/>
      <c r="D310" s="1"/>
      <c r="E310" s="1"/>
      <c r="F310" s="1"/>
      <c r="G310" s="1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"/>
      <c r="D311" s="1"/>
      <c r="E311" s="1"/>
      <c r="F311" s="1"/>
      <c r="G311" s="1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"/>
      <c r="D312" s="1"/>
      <c r="E312" s="1"/>
      <c r="F312" s="1"/>
      <c r="G312" s="1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"/>
      <c r="D313" s="1"/>
      <c r="E313" s="1"/>
      <c r="F313" s="1"/>
      <c r="G313" s="1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"/>
      <c r="D314" s="1"/>
      <c r="E314" s="1"/>
      <c r="F314" s="1"/>
      <c r="G314" s="1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"/>
      <c r="D315" s="1"/>
      <c r="E315" s="1"/>
      <c r="F315" s="1"/>
      <c r="G315" s="1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"/>
      <c r="D316" s="1"/>
      <c r="E316" s="1"/>
      <c r="F316" s="1"/>
      <c r="G316" s="1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"/>
      <c r="D317" s="1"/>
      <c r="E317" s="1"/>
      <c r="F317" s="1"/>
      <c r="G317" s="1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"/>
      <c r="D318" s="1"/>
      <c r="E318" s="1"/>
      <c r="F318" s="1"/>
      <c r="G318" s="1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"/>
      <c r="D319" s="1"/>
      <c r="E319" s="1"/>
      <c r="F319" s="1"/>
      <c r="G319" s="1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"/>
      <c r="D320" s="1"/>
      <c r="E320" s="1"/>
      <c r="F320" s="1"/>
      <c r="G320" s="1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"/>
      <c r="D321" s="1"/>
      <c r="E321" s="1"/>
      <c r="F321" s="1"/>
      <c r="G321" s="1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"/>
      <c r="D322" s="1"/>
      <c r="E322" s="1"/>
      <c r="F322" s="1"/>
      <c r="G322" s="1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"/>
      <c r="D323" s="1"/>
      <c r="E323" s="1"/>
      <c r="F323" s="1"/>
      <c r="G323" s="1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"/>
      <c r="D324" s="1"/>
      <c r="E324" s="1"/>
      <c r="F324" s="1"/>
      <c r="G324" s="1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"/>
      <c r="D325" s="1"/>
      <c r="E325" s="1"/>
      <c r="F325" s="1"/>
      <c r="G325" s="1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"/>
      <c r="D326" s="1"/>
      <c r="E326" s="1"/>
      <c r="F326" s="1"/>
      <c r="G326" s="1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"/>
      <c r="D327" s="1"/>
      <c r="E327" s="1"/>
      <c r="F327" s="1"/>
      <c r="G327" s="1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"/>
      <c r="D328" s="1"/>
      <c r="E328" s="1"/>
      <c r="F328" s="1"/>
      <c r="G328" s="1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"/>
      <c r="D329" s="1"/>
      <c r="E329" s="1"/>
      <c r="F329" s="1"/>
      <c r="G329" s="1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"/>
      <c r="D330" s="1"/>
      <c r="E330" s="1"/>
      <c r="F330" s="1"/>
      <c r="G330" s="1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"/>
      <c r="D331" s="1"/>
      <c r="E331" s="1"/>
      <c r="F331" s="1"/>
      <c r="G331" s="1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"/>
      <c r="D332" s="1"/>
      <c r="E332" s="1"/>
      <c r="F332" s="1"/>
      <c r="G332" s="1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"/>
      <c r="D333" s="1"/>
      <c r="E333" s="1"/>
      <c r="F333" s="1"/>
      <c r="G333" s="1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"/>
      <c r="D334" s="1"/>
      <c r="E334" s="1"/>
      <c r="F334" s="1"/>
      <c r="G334" s="1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"/>
      <c r="D335" s="1"/>
      <c r="E335" s="1"/>
      <c r="F335" s="1"/>
      <c r="G335" s="1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"/>
      <c r="D336" s="1"/>
      <c r="E336" s="1"/>
      <c r="F336" s="1"/>
      <c r="G336" s="1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"/>
      <c r="D337" s="1"/>
      <c r="E337" s="1"/>
      <c r="F337" s="1"/>
      <c r="G337" s="1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"/>
      <c r="D338" s="1"/>
      <c r="E338" s="1"/>
      <c r="F338" s="1"/>
      <c r="G338" s="1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"/>
      <c r="D339" s="1"/>
      <c r="E339" s="1"/>
      <c r="F339" s="1"/>
      <c r="G339" s="1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"/>
      <c r="D340" s="1"/>
      <c r="E340" s="1"/>
      <c r="F340" s="1"/>
      <c r="G340" s="1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"/>
      <c r="D341" s="1"/>
      <c r="E341" s="1"/>
      <c r="F341" s="1"/>
      <c r="G341" s="1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"/>
      <c r="D342" s="1"/>
      <c r="E342" s="1"/>
      <c r="F342" s="1"/>
      <c r="G342" s="1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"/>
      <c r="D343" s="1"/>
      <c r="E343" s="1"/>
      <c r="F343" s="1"/>
      <c r="G343" s="1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"/>
      <c r="D344" s="1"/>
      <c r="E344" s="1"/>
      <c r="F344" s="1"/>
      <c r="G344" s="1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"/>
      <c r="D345" s="1"/>
      <c r="E345" s="1"/>
      <c r="F345" s="1"/>
      <c r="G345" s="1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"/>
      <c r="D346" s="1"/>
      <c r="E346" s="1"/>
      <c r="F346" s="1"/>
      <c r="G346" s="1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"/>
      <c r="D347" s="1"/>
      <c r="E347" s="1"/>
      <c r="F347" s="1"/>
      <c r="G347" s="1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"/>
      <c r="D348" s="1"/>
      <c r="E348" s="1"/>
      <c r="F348" s="1"/>
      <c r="G348" s="1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"/>
      <c r="D349" s="1"/>
      <c r="E349" s="1"/>
      <c r="F349" s="1"/>
      <c r="G349" s="1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"/>
      <c r="D350" s="1"/>
      <c r="E350" s="1"/>
      <c r="F350" s="1"/>
      <c r="G350" s="1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"/>
      <c r="D351" s="1"/>
      <c r="E351" s="1"/>
      <c r="F351" s="1"/>
      <c r="G351" s="1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"/>
      <c r="D352" s="1"/>
      <c r="E352" s="1"/>
      <c r="F352" s="1"/>
      <c r="G352" s="1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"/>
      <c r="D353" s="1"/>
      <c r="E353" s="1"/>
      <c r="F353" s="1"/>
      <c r="G353" s="1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"/>
      <c r="D354" s="1"/>
      <c r="E354" s="1"/>
      <c r="F354" s="1"/>
      <c r="G354" s="1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"/>
      <c r="D355" s="1"/>
      <c r="E355" s="1"/>
      <c r="F355" s="1"/>
      <c r="G355" s="1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"/>
      <c r="D356" s="1"/>
      <c r="E356" s="1"/>
      <c r="F356" s="1"/>
      <c r="G356" s="1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3"/>
      <c r="D357" s="1"/>
      <c r="E357" s="1"/>
      <c r="F357" s="1"/>
      <c r="G357" s="1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3"/>
      <c r="D358" s="1"/>
      <c r="E358" s="1"/>
      <c r="F358" s="1"/>
      <c r="G358" s="1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3"/>
      <c r="D359" s="1"/>
      <c r="E359" s="1"/>
      <c r="F359" s="1"/>
      <c r="G359" s="1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3"/>
      <c r="D360" s="1"/>
      <c r="E360" s="1"/>
      <c r="F360" s="1"/>
      <c r="G360" s="1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3"/>
      <c r="D361" s="1"/>
      <c r="E361" s="1"/>
      <c r="F361" s="1"/>
      <c r="G361" s="1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3"/>
      <c r="D362" s="1"/>
      <c r="E362" s="1"/>
      <c r="F362" s="1"/>
      <c r="G362" s="1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3"/>
      <c r="D363" s="1"/>
      <c r="E363" s="1"/>
      <c r="F363" s="1"/>
      <c r="G363" s="1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3"/>
      <c r="D364" s="1"/>
      <c r="E364" s="1"/>
      <c r="F364" s="1"/>
      <c r="G364" s="1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3"/>
      <c r="D365" s="1"/>
      <c r="E365" s="1"/>
      <c r="F365" s="1"/>
      <c r="G365" s="1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3"/>
      <c r="D366" s="1"/>
      <c r="E366" s="1"/>
      <c r="F366" s="1"/>
      <c r="G366" s="1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3"/>
      <c r="D367" s="1"/>
      <c r="E367" s="1"/>
      <c r="F367" s="1"/>
      <c r="G367" s="1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3"/>
      <c r="D368" s="1"/>
      <c r="E368" s="1"/>
      <c r="F368" s="1"/>
      <c r="G368" s="1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3"/>
      <c r="D369" s="1"/>
      <c r="E369" s="1"/>
      <c r="F369" s="1"/>
      <c r="G369" s="1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3"/>
      <c r="D370" s="1"/>
      <c r="E370" s="1"/>
      <c r="F370" s="1"/>
      <c r="G370" s="1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3"/>
      <c r="D371" s="1"/>
      <c r="E371" s="1"/>
      <c r="F371" s="1"/>
      <c r="G371" s="1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3"/>
      <c r="D372" s="1"/>
      <c r="E372" s="1"/>
      <c r="F372" s="1"/>
      <c r="G372" s="1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3"/>
      <c r="D373" s="1"/>
      <c r="E373" s="1"/>
      <c r="F373" s="1"/>
      <c r="G373" s="1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3"/>
      <c r="D374" s="1"/>
      <c r="E374" s="1"/>
      <c r="F374" s="1"/>
      <c r="G374" s="1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3"/>
      <c r="D375" s="1"/>
      <c r="E375" s="1"/>
      <c r="F375" s="1"/>
      <c r="G375" s="1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3"/>
      <c r="D376" s="1"/>
      <c r="E376" s="1"/>
      <c r="F376" s="1"/>
      <c r="G376" s="1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3"/>
      <c r="D377" s="1"/>
      <c r="E377" s="1"/>
      <c r="F377" s="1"/>
      <c r="G377" s="1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3"/>
      <c r="D378" s="1"/>
      <c r="E378" s="1"/>
      <c r="F378" s="1"/>
      <c r="G378" s="1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3"/>
      <c r="D379" s="1"/>
      <c r="E379" s="1"/>
      <c r="F379" s="1"/>
      <c r="G379" s="1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3"/>
      <c r="D380" s="1"/>
      <c r="E380" s="1"/>
      <c r="F380" s="1"/>
      <c r="G380" s="1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3"/>
      <c r="D381" s="1"/>
      <c r="E381" s="1"/>
      <c r="F381" s="1"/>
      <c r="G381" s="1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3"/>
      <c r="D382" s="1"/>
      <c r="E382" s="1"/>
      <c r="F382" s="1"/>
      <c r="G382" s="1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3"/>
      <c r="D383" s="1"/>
      <c r="E383" s="1"/>
      <c r="F383" s="1"/>
      <c r="G383" s="1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3"/>
      <c r="D384" s="1"/>
      <c r="E384" s="1"/>
      <c r="F384" s="1"/>
      <c r="G384" s="1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3"/>
      <c r="D385" s="1"/>
      <c r="E385" s="1"/>
      <c r="F385" s="1"/>
      <c r="G385" s="1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3"/>
      <c r="D386" s="1"/>
      <c r="E386" s="1"/>
      <c r="F386" s="1"/>
      <c r="G386" s="1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3"/>
      <c r="D387" s="1"/>
      <c r="E387" s="1"/>
      <c r="F387" s="1"/>
      <c r="G387" s="1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3"/>
      <c r="D388" s="1"/>
      <c r="E388" s="1"/>
      <c r="F388" s="1"/>
      <c r="G388" s="1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3"/>
      <c r="D389" s="1"/>
      <c r="E389" s="1"/>
      <c r="F389" s="1"/>
      <c r="G389" s="1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3"/>
      <c r="D390" s="1"/>
      <c r="E390" s="1"/>
      <c r="F390" s="1"/>
      <c r="G390" s="1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3"/>
      <c r="D391" s="1"/>
      <c r="E391" s="1"/>
      <c r="F391" s="1"/>
      <c r="G391" s="1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3"/>
      <c r="D392" s="1"/>
      <c r="E392" s="1"/>
      <c r="F392" s="1"/>
      <c r="G392" s="1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3"/>
      <c r="D393" s="1"/>
      <c r="E393" s="1"/>
      <c r="F393" s="1"/>
      <c r="G393" s="1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3"/>
      <c r="D394" s="1"/>
      <c r="E394" s="1"/>
      <c r="F394" s="1"/>
      <c r="G394" s="1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3"/>
      <c r="D395" s="1"/>
      <c r="E395" s="1"/>
      <c r="F395" s="1"/>
      <c r="G395" s="1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3"/>
      <c r="D396" s="1"/>
      <c r="E396" s="1"/>
      <c r="F396" s="1"/>
      <c r="G396" s="1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3"/>
      <c r="D397" s="1"/>
      <c r="E397" s="1"/>
      <c r="F397" s="1"/>
      <c r="G397" s="1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3"/>
      <c r="D398" s="1"/>
      <c r="E398" s="1"/>
      <c r="F398" s="1"/>
      <c r="G398" s="1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3"/>
      <c r="D399" s="1"/>
      <c r="E399" s="1"/>
      <c r="F399" s="1"/>
      <c r="G399" s="1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3"/>
      <c r="D400" s="1"/>
      <c r="E400" s="1"/>
      <c r="F400" s="1"/>
      <c r="G400" s="1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3"/>
      <c r="D401" s="1"/>
      <c r="E401" s="1"/>
      <c r="F401" s="1"/>
      <c r="G401" s="1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3"/>
      <c r="D402" s="1"/>
      <c r="E402" s="1"/>
      <c r="F402" s="1"/>
      <c r="G402" s="1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3"/>
      <c r="D403" s="1"/>
      <c r="E403" s="1"/>
      <c r="F403" s="1"/>
      <c r="G403" s="1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3"/>
      <c r="D404" s="1"/>
      <c r="E404" s="1"/>
      <c r="F404" s="1"/>
      <c r="G404" s="1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3"/>
      <c r="D405" s="1"/>
      <c r="E405" s="1"/>
      <c r="F405" s="1"/>
      <c r="G405" s="1"/>
      <c r="H405" s="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3"/>
      <c r="D406" s="1"/>
      <c r="E406" s="1"/>
      <c r="F406" s="1"/>
      <c r="G406" s="1"/>
      <c r="H406" s="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3"/>
      <c r="D407" s="1"/>
      <c r="E407" s="1"/>
      <c r="F407" s="1"/>
      <c r="G407" s="1"/>
      <c r="H407" s="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3"/>
      <c r="D408" s="1"/>
      <c r="E408" s="1"/>
      <c r="F408" s="1"/>
      <c r="G408" s="1"/>
      <c r="H408" s="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3"/>
      <c r="D409" s="1"/>
      <c r="E409" s="1"/>
      <c r="F409" s="1"/>
      <c r="G409" s="1"/>
      <c r="H409" s="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3"/>
      <c r="D410" s="1"/>
      <c r="E410" s="1"/>
      <c r="F410" s="1"/>
      <c r="G410" s="1"/>
      <c r="H410" s="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3"/>
      <c r="D411" s="1"/>
      <c r="E411" s="1"/>
      <c r="F411" s="1"/>
      <c r="G411" s="1"/>
      <c r="H411" s="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3"/>
      <c r="D412" s="1"/>
      <c r="E412" s="1"/>
      <c r="F412" s="1"/>
      <c r="G412" s="1"/>
      <c r="H412" s="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3"/>
      <c r="D413" s="1"/>
      <c r="E413" s="1"/>
      <c r="F413" s="1"/>
      <c r="G413" s="1"/>
      <c r="H413" s="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3"/>
      <c r="D414" s="1"/>
      <c r="E414" s="1"/>
      <c r="F414" s="1"/>
      <c r="G414" s="1"/>
      <c r="H414" s="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3"/>
      <c r="D415" s="1"/>
      <c r="E415" s="1"/>
      <c r="F415" s="1"/>
      <c r="G415" s="1"/>
      <c r="H415" s="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3"/>
      <c r="D416" s="1"/>
      <c r="E416" s="1"/>
      <c r="F416" s="1"/>
      <c r="G416" s="1"/>
      <c r="H416" s="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3"/>
      <c r="D417" s="1"/>
      <c r="E417" s="1"/>
      <c r="F417" s="1"/>
      <c r="G417" s="1"/>
      <c r="H417" s="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3"/>
      <c r="D418" s="1"/>
      <c r="E418" s="1"/>
      <c r="F418" s="1"/>
      <c r="G418" s="1"/>
      <c r="H418" s="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3"/>
      <c r="D419" s="1"/>
      <c r="E419" s="1"/>
      <c r="F419" s="1"/>
      <c r="G419" s="1"/>
      <c r="H419" s="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3"/>
      <c r="D420" s="1"/>
      <c r="E420" s="1"/>
      <c r="F420" s="1"/>
      <c r="G420" s="1"/>
      <c r="H420" s="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3"/>
      <c r="D421" s="1"/>
      <c r="E421" s="1"/>
      <c r="F421" s="1"/>
      <c r="G421" s="1"/>
      <c r="H421" s="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3"/>
      <c r="D422" s="1"/>
      <c r="E422" s="1"/>
      <c r="F422" s="1"/>
      <c r="G422" s="1"/>
      <c r="H422" s="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3"/>
      <c r="D423" s="1"/>
      <c r="E423" s="1"/>
      <c r="F423" s="1"/>
      <c r="G423" s="1"/>
      <c r="H423" s="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3"/>
      <c r="D424" s="1"/>
      <c r="E424" s="1"/>
      <c r="F424" s="1"/>
      <c r="G424" s="1"/>
      <c r="H424" s="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3"/>
      <c r="D425" s="1"/>
      <c r="E425" s="1"/>
      <c r="F425" s="1"/>
      <c r="G425" s="1"/>
      <c r="H425" s="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3"/>
      <c r="D426" s="1"/>
      <c r="E426" s="1"/>
      <c r="F426" s="1"/>
      <c r="G426" s="1"/>
      <c r="H426" s="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3"/>
      <c r="D427" s="1"/>
      <c r="E427" s="1"/>
      <c r="F427" s="1"/>
      <c r="G427" s="1"/>
      <c r="H427" s="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3"/>
      <c r="D428" s="1"/>
      <c r="E428" s="1"/>
      <c r="F428" s="1"/>
      <c r="G428" s="1"/>
      <c r="H428" s="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3"/>
      <c r="D429" s="1"/>
      <c r="E429" s="1"/>
      <c r="F429" s="1"/>
      <c r="G429" s="1"/>
      <c r="H429" s="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3"/>
      <c r="D430" s="1"/>
      <c r="E430" s="1"/>
      <c r="F430" s="1"/>
      <c r="G430" s="1"/>
      <c r="H430" s="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3"/>
      <c r="D431" s="1"/>
      <c r="E431" s="1"/>
      <c r="F431" s="1"/>
      <c r="G431" s="1"/>
      <c r="H431" s="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3"/>
      <c r="D432" s="1"/>
      <c r="E432" s="1"/>
      <c r="F432" s="1"/>
      <c r="G432" s="1"/>
      <c r="H432" s="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3"/>
      <c r="D433" s="1"/>
      <c r="E433" s="1"/>
      <c r="F433" s="1"/>
      <c r="G433" s="1"/>
      <c r="H433" s="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3"/>
      <c r="D434" s="1"/>
      <c r="E434" s="1"/>
      <c r="F434" s="1"/>
      <c r="G434" s="1"/>
      <c r="H434" s="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3"/>
      <c r="D435" s="1"/>
      <c r="E435" s="1"/>
      <c r="F435" s="1"/>
      <c r="G435" s="1"/>
      <c r="H435" s="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3"/>
      <c r="D436" s="1"/>
      <c r="E436" s="1"/>
      <c r="F436" s="1"/>
      <c r="G436" s="1"/>
      <c r="H436" s="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3"/>
      <c r="D437" s="1"/>
      <c r="E437" s="1"/>
      <c r="F437" s="1"/>
      <c r="G437" s="1"/>
      <c r="H437" s="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3"/>
      <c r="D438" s="1"/>
      <c r="E438" s="1"/>
      <c r="F438" s="1"/>
      <c r="G438" s="1"/>
      <c r="H438" s="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3"/>
      <c r="D439" s="1"/>
      <c r="E439" s="1"/>
      <c r="F439" s="1"/>
      <c r="G439" s="1"/>
      <c r="H439" s="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3"/>
      <c r="D440" s="1"/>
      <c r="E440" s="1"/>
      <c r="F440" s="1"/>
      <c r="G440" s="1"/>
      <c r="H440" s="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3"/>
      <c r="D441" s="1"/>
      <c r="E441" s="1"/>
      <c r="F441" s="1"/>
      <c r="G441" s="1"/>
      <c r="H441" s="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3"/>
      <c r="D442" s="1"/>
      <c r="E442" s="1"/>
      <c r="F442" s="1"/>
      <c r="G442" s="1"/>
      <c r="H442" s="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3"/>
      <c r="D443" s="1"/>
      <c r="E443" s="1"/>
      <c r="F443" s="1"/>
      <c r="G443" s="1"/>
      <c r="H443" s="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3"/>
      <c r="D444" s="1"/>
      <c r="E444" s="1"/>
      <c r="F444" s="1"/>
      <c r="G444" s="1"/>
      <c r="H444" s="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3"/>
      <c r="D445" s="1"/>
      <c r="E445" s="1"/>
      <c r="F445" s="1"/>
      <c r="G445" s="1"/>
      <c r="H445" s="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3"/>
      <c r="D446" s="1"/>
      <c r="E446" s="1"/>
      <c r="F446" s="1"/>
      <c r="G446" s="1"/>
      <c r="H446" s="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3"/>
      <c r="D447" s="1"/>
      <c r="E447" s="1"/>
      <c r="F447" s="1"/>
      <c r="G447" s="1"/>
      <c r="H447" s="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3"/>
      <c r="D448" s="1"/>
      <c r="E448" s="1"/>
      <c r="F448" s="1"/>
      <c r="G448" s="1"/>
      <c r="H448" s="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3"/>
      <c r="D449" s="1"/>
      <c r="E449" s="1"/>
      <c r="F449" s="1"/>
      <c r="G449" s="1"/>
      <c r="H449" s="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3"/>
      <c r="D450" s="1"/>
      <c r="E450" s="1"/>
      <c r="F450" s="1"/>
      <c r="G450" s="1"/>
      <c r="H450" s="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3"/>
      <c r="D451" s="1"/>
      <c r="E451" s="1"/>
      <c r="F451" s="1"/>
      <c r="G451" s="1"/>
      <c r="H451" s="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3"/>
      <c r="D452" s="1"/>
      <c r="E452" s="1"/>
      <c r="F452" s="1"/>
      <c r="G452" s="1"/>
      <c r="H452" s="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3"/>
      <c r="D453" s="1"/>
      <c r="E453" s="1"/>
      <c r="F453" s="1"/>
      <c r="G453" s="1"/>
      <c r="H453" s="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3"/>
      <c r="D454" s="1"/>
      <c r="E454" s="1"/>
      <c r="F454" s="1"/>
      <c r="G454" s="1"/>
      <c r="H454" s="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3"/>
      <c r="D455" s="1"/>
      <c r="E455" s="1"/>
      <c r="F455" s="1"/>
      <c r="G455" s="1"/>
      <c r="H455" s="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3"/>
      <c r="D456" s="1"/>
      <c r="E456" s="1"/>
      <c r="F456" s="1"/>
      <c r="G456" s="1"/>
      <c r="H456" s="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3"/>
      <c r="D457" s="1"/>
      <c r="E457" s="1"/>
      <c r="F457" s="1"/>
      <c r="G457" s="1"/>
      <c r="H457" s="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3"/>
      <c r="D458" s="1"/>
      <c r="E458" s="1"/>
      <c r="F458" s="1"/>
      <c r="G458" s="1"/>
      <c r="H458" s="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3"/>
      <c r="D459" s="1"/>
      <c r="E459" s="1"/>
      <c r="F459" s="1"/>
      <c r="G459" s="1"/>
      <c r="H459" s="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3"/>
      <c r="D460" s="1"/>
      <c r="E460" s="1"/>
      <c r="F460" s="1"/>
      <c r="G460" s="1"/>
      <c r="H460" s="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3"/>
      <c r="D461" s="1"/>
      <c r="E461" s="1"/>
      <c r="F461" s="1"/>
      <c r="G461" s="1"/>
      <c r="H461" s="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3"/>
      <c r="D462" s="1"/>
      <c r="E462" s="1"/>
      <c r="F462" s="1"/>
      <c r="G462" s="1"/>
      <c r="H462" s="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3"/>
      <c r="D463" s="1"/>
      <c r="E463" s="1"/>
      <c r="F463" s="1"/>
      <c r="G463" s="1"/>
      <c r="H463" s="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3"/>
      <c r="D464" s="1"/>
      <c r="E464" s="1"/>
      <c r="F464" s="1"/>
      <c r="G464" s="1"/>
      <c r="H464" s="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3"/>
      <c r="D465" s="1"/>
      <c r="E465" s="1"/>
      <c r="F465" s="1"/>
      <c r="G465" s="1"/>
      <c r="H465" s="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3"/>
      <c r="D466" s="1"/>
      <c r="E466" s="1"/>
      <c r="F466" s="1"/>
      <c r="G466" s="1"/>
      <c r="H466" s="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3"/>
      <c r="D467" s="1"/>
      <c r="E467" s="1"/>
      <c r="F467" s="1"/>
      <c r="G467" s="1"/>
      <c r="H467" s="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3"/>
      <c r="D468" s="1"/>
      <c r="E468" s="1"/>
      <c r="F468" s="1"/>
      <c r="G468" s="1"/>
      <c r="H468" s="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3"/>
      <c r="D469" s="1"/>
      <c r="E469" s="1"/>
      <c r="F469" s="1"/>
      <c r="G469" s="1"/>
      <c r="H469" s="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3"/>
      <c r="D470" s="1"/>
      <c r="E470" s="1"/>
      <c r="F470" s="1"/>
      <c r="G470" s="1"/>
      <c r="H470" s="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3"/>
      <c r="D471" s="1"/>
      <c r="E471" s="1"/>
      <c r="F471" s="1"/>
      <c r="G471" s="1"/>
      <c r="H471" s="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3"/>
      <c r="D472" s="1"/>
      <c r="E472" s="1"/>
      <c r="F472" s="1"/>
      <c r="G472" s="1"/>
      <c r="H472" s="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3"/>
      <c r="D473" s="1"/>
      <c r="E473" s="1"/>
      <c r="F473" s="1"/>
      <c r="G473" s="1"/>
      <c r="H473" s="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3"/>
      <c r="D474" s="1"/>
      <c r="E474" s="1"/>
      <c r="F474" s="1"/>
      <c r="G474" s="1"/>
      <c r="H474" s="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3"/>
      <c r="D475" s="1"/>
      <c r="E475" s="1"/>
      <c r="F475" s="1"/>
      <c r="G475" s="1"/>
      <c r="H475" s="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3"/>
      <c r="D476" s="1"/>
      <c r="E476" s="1"/>
      <c r="F476" s="1"/>
      <c r="G476" s="1"/>
      <c r="H476" s="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3"/>
      <c r="D477" s="1"/>
      <c r="E477" s="1"/>
      <c r="F477" s="1"/>
      <c r="G477" s="1"/>
      <c r="H477" s="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3"/>
      <c r="D478" s="1"/>
      <c r="E478" s="1"/>
      <c r="F478" s="1"/>
      <c r="G478" s="1"/>
      <c r="H478" s="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3"/>
      <c r="D479" s="1"/>
      <c r="E479" s="1"/>
      <c r="F479" s="1"/>
      <c r="G479" s="1"/>
      <c r="H479" s="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3"/>
      <c r="D480" s="1"/>
      <c r="E480" s="1"/>
      <c r="F480" s="1"/>
      <c r="G480" s="1"/>
      <c r="H480" s="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3"/>
      <c r="D481" s="1"/>
      <c r="E481" s="1"/>
      <c r="F481" s="1"/>
      <c r="G481" s="1"/>
      <c r="H481" s="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3"/>
      <c r="D482" s="1"/>
      <c r="E482" s="1"/>
      <c r="F482" s="1"/>
      <c r="G482" s="1"/>
      <c r="H482" s="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3"/>
      <c r="D483" s="1"/>
      <c r="E483" s="1"/>
      <c r="F483" s="1"/>
      <c r="G483" s="1"/>
      <c r="H483" s="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3"/>
      <c r="D484" s="1"/>
      <c r="E484" s="1"/>
      <c r="F484" s="1"/>
      <c r="G484" s="1"/>
      <c r="H484" s="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3"/>
      <c r="D485" s="1"/>
      <c r="E485" s="1"/>
      <c r="F485" s="1"/>
      <c r="G485" s="1"/>
      <c r="H485" s="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3"/>
      <c r="D486" s="1"/>
      <c r="E486" s="1"/>
      <c r="F486" s="1"/>
      <c r="G486" s="1"/>
      <c r="H486" s="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3"/>
      <c r="D487" s="1"/>
      <c r="E487" s="1"/>
      <c r="F487" s="1"/>
      <c r="G487" s="1"/>
      <c r="H487" s="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3"/>
      <c r="D488" s="1"/>
      <c r="E488" s="1"/>
      <c r="F488" s="1"/>
      <c r="G488" s="1"/>
      <c r="H488" s="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3"/>
      <c r="D489" s="1"/>
      <c r="E489" s="1"/>
      <c r="F489" s="1"/>
      <c r="G489" s="1"/>
      <c r="H489" s="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3"/>
      <c r="D490" s="1"/>
      <c r="E490" s="1"/>
      <c r="F490" s="1"/>
      <c r="G490" s="1"/>
      <c r="H490" s="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3"/>
      <c r="D491" s="1"/>
      <c r="E491" s="1"/>
      <c r="F491" s="1"/>
      <c r="G491" s="1"/>
      <c r="H491" s="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3"/>
      <c r="D492" s="1"/>
      <c r="E492" s="1"/>
      <c r="F492" s="1"/>
      <c r="G492" s="1"/>
      <c r="H492" s="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3"/>
      <c r="D493" s="1"/>
      <c r="E493" s="1"/>
      <c r="F493" s="1"/>
      <c r="G493" s="1"/>
      <c r="H493" s="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3"/>
      <c r="D494" s="1"/>
      <c r="E494" s="1"/>
      <c r="F494" s="1"/>
      <c r="G494" s="1"/>
      <c r="H494" s="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3"/>
      <c r="D495" s="1"/>
      <c r="E495" s="1"/>
      <c r="F495" s="1"/>
      <c r="G495" s="1"/>
      <c r="H495" s="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3"/>
      <c r="D496" s="1"/>
      <c r="E496" s="1"/>
      <c r="F496" s="1"/>
      <c r="G496" s="1"/>
      <c r="H496" s="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3"/>
      <c r="D497" s="1"/>
      <c r="E497" s="1"/>
      <c r="F497" s="1"/>
      <c r="G497" s="1"/>
      <c r="H497" s="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3"/>
      <c r="D498" s="1"/>
      <c r="E498" s="1"/>
      <c r="F498" s="1"/>
      <c r="G498" s="1"/>
      <c r="H498" s="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3"/>
      <c r="D499" s="1"/>
      <c r="E499" s="1"/>
      <c r="F499" s="1"/>
      <c r="G499" s="1"/>
      <c r="H499" s="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3"/>
      <c r="D500" s="1"/>
      <c r="E500" s="1"/>
      <c r="F500" s="1"/>
      <c r="G500" s="1"/>
      <c r="H500" s="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3"/>
      <c r="D501" s="1"/>
      <c r="E501" s="1"/>
      <c r="F501" s="1"/>
      <c r="G501" s="1"/>
      <c r="H501" s="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3"/>
      <c r="D502" s="1"/>
      <c r="E502" s="1"/>
      <c r="F502" s="1"/>
      <c r="G502" s="1"/>
      <c r="H502" s="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3"/>
      <c r="D503" s="1"/>
      <c r="E503" s="1"/>
      <c r="F503" s="1"/>
      <c r="G503" s="1"/>
      <c r="H503" s="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3"/>
      <c r="D504" s="1"/>
      <c r="E504" s="1"/>
      <c r="F504" s="1"/>
      <c r="G504" s="1"/>
      <c r="H504" s="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3"/>
      <c r="D505" s="1"/>
      <c r="E505" s="1"/>
      <c r="F505" s="1"/>
      <c r="G505" s="1"/>
      <c r="H505" s="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3"/>
      <c r="D506" s="1"/>
      <c r="E506" s="1"/>
      <c r="F506" s="1"/>
      <c r="G506" s="1"/>
      <c r="H506" s="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3"/>
      <c r="D507" s="1"/>
      <c r="E507" s="1"/>
      <c r="F507" s="1"/>
      <c r="G507" s="1"/>
      <c r="H507" s="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3"/>
      <c r="D508" s="1"/>
      <c r="E508" s="1"/>
      <c r="F508" s="1"/>
      <c r="G508" s="1"/>
      <c r="H508" s="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3"/>
      <c r="D509" s="1"/>
      <c r="E509" s="1"/>
      <c r="F509" s="1"/>
      <c r="G509" s="1"/>
      <c r="H509" s="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3"/>
      <c r="D510" s="1"/>
      <c r="E510" s="1"/>
      <c r="F510" s="1"/>
      <c r="G510" s="1"/>
      <c r="H510" s="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3"/>
      <c r="D511" s="1"/>
      <c r="E511" s="1"/>
      <c r="F511" s="1"/>
      <c r="G511" s="1"/>
      <c r="H511" s="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3"/>
      <c r="D512" s="1"/>
      <c r="E512" s="1"/>
      <c r="F512" s="1"/>
      <c r="G512" s="1"/>
      <c r="H512" s="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3"/>
      <c r="D513" s="1"/>
      <c r="E513" s="1"/>
      <c r="F513" s="1"/>
      <c r="G513" s="1"/>
      <c r="H513" s="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3"/>
      <c r="D514" s="1"/>
      <c r="E514" s="1"/>
      <c r="F514" s="1"/>
      <c r="G514" s="1"/>
      <c r="H514" s="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3"/>
      <c r="D515" s="1"/>
      <c r="E515" s="1"/>
      <c r="F515" s="1"/>
      <c r="G515" s="1"/>
      <c r="H515" s="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3"/>
      <c r="D516" s="1"/>
      <c r="E516" s="1"/>
      <c r="F516" s="1"/>
      <c r="G516" s="1"/>
      <c r="H516" s="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3"/>
      <c r="D517" s="1"/>
      <c r="E517" s="1"/>
      <c r="F517" s="1"/>
      <c r="G517" s="1"/>
      <c r="H517" s="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3"/>
      <c r="D518" s="1"/>
      <c r="E518" s="1"/>
      <c r="F518" s="1"/>
      <c r="G518" s="1"/>
      <c r="H518" s="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3"/>
      <c r="D519" s="1"/>
      <c r="E519" s="1"/>
      <c r="F519" s="1"/>
      <c r="G519" s="1"/>
      <c r="H519" s="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3"/>
      <c r="D520" s="1"/>
      <c r="E520" s="1"/>
      <c r="F520" s="1"/>
      <c r="G520" s="1"/>
      <c r="H520" s="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3"/>
      <c r="D521" s="1"/>
      <c r="E521" s="1"/>
      <c r="F521" s="1"/>
      <c r="G521" s="1"/>
      <c r="H521" s="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3"/>
      <c r="D522" s="1"/>
      <c r="E522" s="1"/>
      <c r="F522" s="1"/>
      <c r="G522" s="1"/>
      <c r="H522" s="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3"/>
      <c r="D523" s="1"/>
      <c r="E523" s="1"/>
      <c r="F523" s="1"/>
      <c r="G523" s="1"/>
      <c r="H523" s="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3"/>
      <c r="D524" s="1"/>
      <c r="E524" s="1"/>
      <c r="F524" s="1"/>
      <c r="G524" s="1"/>
      <c r="H524" s="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3"/>
      <c r="D525" s="1"/>
      <c r="E525" s="1"/>
      <c r="F525" s="1"/>
      <c r="G525" s="1"/>
      <c r="H525" s="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3"/>
      <c r="D526" s="1"/>
      <c r="E526" s="1"/>
      <c r="F526" s="1"/>
      <c r="G526" s="1"/>
      <c r="H526" s="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3"/>
      <c r="D527" s="1"/>
      <c r="E527" s="1"/>
      <c r="F527" s="1"/>
      <c r="G527" s="1"/>
      <c r="H527" s="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3"/>
      <c r="D528" s="1"/>
      <c r="E528" s="1"/>
      <c r="F528" s="1"/>
      <c r="G528" s="1"/>
      <c r="H528" s="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3"/>
      <c r="D529" s="1"/>
      <c r="E529" s="1"/>
      <c r="F529" s="1"/>
      <c r="G529" s="1"/>
      <c r="H529" s="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3"/>
      <c r="D530" s="1"/>
      <c r="E530" s="1"/>
      <c r="F530" s="1"/>
      <c r="G530" s="1"/>
      <c r="H530" s="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3"/>
      <c r="D531" s="1"/>
      <c r="E531" s="1"/>
      <c r="F531" s="1"/>
      <c r="G531" s="1"/>
      <c r="H531" s="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3"/>
      <c r="D532" s="1"/>
      <c r="E532" s="1"/>
      <c r="F532" s="1"/>
      <c r="G532" s="1"/>
      <c r="H532" s="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3"/>
      <c r="D533" s="1"/>
      <c r="E533" s="1"/>
      <c r="F533" s="1"/>
      <c r="G533" s="1"/>
      <c r="H533" s="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3"/>
      <c r="D534" s="1"/>
      <c r="E534" s="1"/>
      <c r="F534" s="1"/>
      <c r="G534" s="1"/>
      <c r="H534" s="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3"/>
      <c r="D535" s="1"/>
      <c r="E535" s="1"/>
      <c r="F535" s="1"/>
      <c r="G535" s="1"/>
      <c r="H535" s="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3"/>
      <c r="D536" s="1"/>
      <c r="E536" s="1"/>
      <c r="F536" s="1"/>
      <c r="G536" s="1"/>
      <c r="H536" s="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3"/>
      <c r="D537" s="1"/>
      <c r="E537" s="1"/>
      <c r="F537" s="1"/>
      <c r="G537" s="1"/>
      <c r="H537" s="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3"/>
      <c r="D538" s="1"/>
      <c r="E538" s="1"/>
      <c r="F538" s="1"/>
      <c r="G538" s="1"/>
      <c r="H538" s="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3"/>
      <c r="D539" s="1"/>
      <c r="E539" s="1"/>
      <c r="F539" s="1"/>
      <c r="G539" s="1"/>
      <c r="H539" s="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3"/>
      <c r="D540" s="1"/>
      <c r="E540" s="1"/>
      <c r="F540" s="1"/>
      <c r="G540" s="1"/>
      <c r="H540" s="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3"/>
      <c r="D541" s="1"/>
      <c r="E541" s="1"/>
      <c r="F541" s="1"/>
      <c r="G541" s="1"/>
      <c r="H541" s="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3"/>
      <c r="D542" s="1"/>
      <c r="E542" s="1"/>
      <c r="F542" s="1"/>
      <c r="G542" s="1"/>
      <c r="H542" s="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3"/>
      <c r="D543" s="1"/>
      <c r="E543" s="1"/>
      <c r="F543" s="1"/>
      <c r="G543" s="1"/>
      <c r="H543" s="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3"/>
      <c r="D544" s="1"/>
      <c r="E544" s="1"/>
      <c r="F544" s="1"/>
      <c r="G544" s="1"/>
      <c r="H544" s="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3"/>
      <c r="D545" s="1"/>
      <c r="E545" s="1"/>
      <c r="F545" s="1"/>
      <c r="G545" s="1"/>
      <c r="H545" s="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3"/>
      <c r="D546" s="1"/>
      <c r="E546" s="1"/>
      <c r="F546" s="1"/>
      <c r="G546" s="1"/>
      <c r="H546" s="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3"/>
      <c r="D547" s="1"/>
      <c r="E547" s="1"/>
      <c r="F547" s="1"/>
      <c r="G547" s="1"/>
      <c r="H547" s="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3"/>
      <c r="D548" s="1"/>
      <c r="E548" s="1"/>
      <c r="F548" s="1"/>
      <c r="G548" s="1"/>
      <c r="H548" s="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3"/>
      <c r="D549" s="1"/>
      <c r="E549" s="1"/>
      <c r="F549" s="1"/>
      <c r="G549" s="1"/>
      <c r="H549" s="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3"/>
      <c r="D550" s="1"/>
      <c r="E550" s="1"/>
      <c r="F550" s="1"/>
      <c r="G550" s="1"/>
      <c r="H550" s="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3"/>
      <c r="D551" s="1"/>
      <c r="E551" s="1"/>
      <c r="F551" s="1"/>
      <c r="G551" s="1"/>
      <c r="H551" s="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3"/>
      <c r="D552" s="1"/>
      <c r="E552" s="1"/>
      <c r="F552" s="1"/>
      <c r="G552" s="1"/>
      <c r="H552" s="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3"/>
      <c r="D553" s="1"/>
      <c r="E553" s="1"/>
      <c r="F553" s="1"/>
      <c r="G553" s="1"/>
      <c r="H553" s="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3"/>
      <c r="D554" s="1"/>
      <c r="E554" s="1"/>
      <c r="F554" s="1"/>
      <c r="G554" s="1"/>
      <c r="H554" s="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3"/>
      <c r="D555" s="1"/>
      <c r="E555" s="1"/>
      <c r="F555" s="1"/>
      <c r="G555" s="1"/>
      <c r="H555" s="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3"/>
      <c r="D556" s="1"/>
      <c r="E556" s="1"/>
      <c r="F556" s="1"/>
      <c r="G556" s="1"/>
      <c r="H556" s="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3"/>
      <c r="D557" s="1"/>
      <c r="E557" s="1"/>
      <c r="F557" s="1"/>
      <c r="G557" s="1"/>
      <c r="H557" s="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3"/>
      <c r="D558" s="1"/>
      <c r="E558" s="1"/>
      <c r="F558" s="1"/>
      <c r="G558" s="1"/>
      <c r="H558" s="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3"/>
      <c r="D559" s="1"/>
      <c r="E559" s="1"/>
      <c r="F559" s="1"/>
      <c r="G559" s="1"/>
      <c r="H559" s="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3"/>
      <c r="D560" s="1"/>
      <c r="E560" s="1"/>
      <c r="F560" s="1"/>
      <c r="G560" s="1"/>
      <c r="H560" s="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3"/>
      <c r="D561" s="1"/>
      <c r="E561" s="1"/>
      <c r="F561" s="1"/>
      <c r="G561" s="1"/>
      <c r="H561" s="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3"/>
      <c r="D562" s="1"/>
      <c r="E562" s="1"/>
      <c r="F562" s="1"/>
      <c r="G562" s="1"/>
      <c r="H562" s="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3"/>
      <c r="D563" s="1"/>
      <c r="E563" s="1"/>
      <c r="F563" s="1"/>
      <c r="G563" s="1"/>
      <c r="H563" s="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3"/>
      <c r="D564" s="1"/>
      <c r="E564" s="1"/>
      <c r="F564" s="1"/>
      <c r="G564" s="1"/>
      <c r="H564" s="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3"/>
      <c r="D565" s="1"/>
      <c r="E565" s="1"/>
      <c r="F565" s="1"/>
      <c r="G565" s="1"/>
      <c r="H565" s="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3"/>
      <c r="D566" s="1"/>
      <c r="E566" s="1"/>
      <c r="F566" s="1"/>
      <c r="G566" s="1"/>
      <c r="H566" s="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3"/>
      <c r="D567" s="1"/>
      <c r="E567" s="1"/>
      <c r="F567" s="1"/>
      <c r="G567" s="1"/>
      <c r="H567" s="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3"/>
      <c r="D568" s="1"/>
      <c r="E568" s="1"/>
      <c r="F568" s="1"/>
      <c r="G568" s="1"/>
      <c r="H568" s="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3"/>
      <c r="D569" s="1"/>
      <c r="E569" s="1"/>
      <c r="F569" s="1"/>
      <c r="G569" s="1"/>
      <c r="H569" s="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3"/>
      <c r="D570" s="1"/>
      <c r="E570" s="1"/>
      <c r="F570" s="1"/>
      <c r="G570" s="1"/>
      <c r="H570" s="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3"/>
      <c r="D571" s="1"/>
      <c r="E571" s="1"/>
      <c r="F571" s="1"/>
      <c r="G571" s="1"/>
      <c r="H571" s="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3"/>
      <c r="D572" s="1"/>
      <c r="E572" s="1"/>
      <c r="F572" s="1"/>
      <c r="G572" s="1"/>
      <c r="H572" s="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3"/>
      <c r="D573" s="1"/>
      <c r="E573" s="1"/>
      <c r="F573" s="1"/>
      <c r="G573" s="1"/>
      <c r="H573" s="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3"/>
      <c r="D574" s="1"/>
      <c r="E574" s="1"/>
      <c r="F574" s="1"/>
      <c r="G574" s="1"/>
      <c r="H574" s="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3"/>
      <c r="D575" s="1"/>
      <c r="E575" s="1"/>
      <c r="F575" s="1"/>
      <c r="G575" s="1"/>
      <c r="H575" s="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3"/>
      <c r="D576" s="1"/>
      <c r="E576" s="1"/>
      <c r="F576" s="1"/>
      <c r="G576" s="1"/>
      <c r="H576" s="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3"/>
      <c r="D577" s="1"/>
      <c r="E577" s="1"/>
      <c r="F577" s="1"/>
      <c r="G577" s="1"/>
      <c r="H577" s="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3"/>
      <c r="D578" s="1"/>
      <c r="E578" s="1"/>
      <c r="F578" s="1"/>
      <c r="G578" s="1"/>
      <c r="H578" s="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3"/>
      <c r="D579" s="1"/>
      <c r="E579" s="1"/>
      <c r="F579" s="1"/>
      <c r="G579" s="1"/>
      <c r="H579" s="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3"/>
      <c r="D580" s="1"/>
      <c r="E580" s="1"/>
      <c r="F580" s="1"/>
      <c r="G580" s="1"/>
      <c r="H580" s="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3"/>
      <c r="D581" s="1"/>
      <c r="E581" s="1"/>
      <c r="F581" s="1"/>
      <c r="G581" s="1"/>
      <c r="H581" s="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3"/>
      <c r="D582" s="1"/>
      <c r="E582" s="1"/>
      <c r="F582" s="1"/>
      <c r="G582" s="1"/>
      <c r="H582" s="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3"/>
      <c r="D583" s="1"/>
      <c r="E583" s="1"/>
      <c r="F583" s="1"/>
      <c r="G583" s="1"/>
      <c r="H583" s="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3"/>
      <c r="D584" s="1"/>
      <c r="E584" s="1"/>
      <c r="F584" s="1"/>
      <c r="G584" s="1"/>
      <c r="H584" s="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3"/>
      <c r="D585" s="1"/>
      <c r="E585" s="1"/>
      <c r="F585" s="1"/>
      <c r="G585" s="1"/>
      <c r="H585" s="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3"/>
      <c r="D586" s="1"/>
      <c r="E586" s="1"/>
      <c r="F586" s="1"/>
      <c r="G586" s="1"/>
      <c r="H586" s="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3"/>
      <c r="D587" s="1"/>
      <c r="E587" s="1"/>
      <c r="F587" s="1"/>
      <c r="G587" s="1"/>
      <c r="H587" s="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3"/>
      <c r="D588" s="1"/>
      <c r="E588" s="1"/>
      <c r="F588" s="1"/>
      <c r="G588" s="1"/>
      <c r="H588" s="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3"/>
      <c r="D589" s="1"/>
      <c r="E589" s="1"/>
      <c r="F589" s="1"/>
      <c r="G589" s="1"/>
      <c r="H589" s="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3"/>
      <c r="D590" s="1"/>
      <c r="E590" s="1"/>
      <c r="F590" s="1"/>
      <c r="G590" s="1"/>
      <c r="H590" s="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3"/>
      <c r="D591" s="1"/>
      <c r="E591" s="1"/>
      <c r="F591" s="1"/>
      <c r="G591" s="1"/>
      <c r="H591" s="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3"/>
      <c r="D592" s="1"/>
      <c r="E592" s="1"/>
      <c r="F592" s="1"/>
      <c r="G592" s="1"/>
      <c r="H592" s="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3"/>
      <c r="D593" s="1"/>
      <c r="E593" s="1"/>
      <c r="F593" s="1"/>
      <c r="G593" s="1"/>
      <c r="H593" s="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3"/>
      <c r="D594" s="1"/>
      <c r="E594" s="1"/>
      <c r="F594" s="1"/>
      <c r="G594" s="1"/>
      <c r="H594" s="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3"/>
      <c r="D595" s="1"/>
      <c r="E595" s="1"/>
      <c r="F595" s="1"/>
      <c r="G595" s="1"/>
      <c r="H595" s="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3"/>
      <c r="D596" s="1"/>
      <c r="E596" s="1"/>
      <c r="F596" s="1"/>
      <c r="G596" s="1"/>
      <c r="H596" s="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3"/>
      <c r="D597" s="1"/>
      <c r="E597" s="1"/>
      <c r="F597" s="1"/>
      <c r="G597" s="1"/>
      <c r="H597" s="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3"/>
      <c r="D598" s="1"/>
      <c r="E598" s="1"/>
      <c r="F598" s="1"/>
      <c r="G598" s="1"/>
      <c r="H598" s="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3"/>
      <c r="D599" s="1"/>
      <c r="E599" s="1"/>
      <c r="F599" s="1"/>
      <c r="G599" s="1"/>
      <c r="H599" s="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3"/>
      <c r="D600" s="1"/>
      <c r="E600" s="1"/>
      <c r="F600" s="1"/>
      <c r="G600" s="1"/>
      <c r="H600" s="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3"/>
      <c r="D601" s="1"/>
      <c r="E601" s="1"/>
      <c r="F601" s="1"/>
      <c r="G601" s="1"/>
      <c r="H601" s="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3"/>
      <c r="D602" s="1"/>
      <c r="E602" s="1"/>
      <c r="F602" s="1"/>
      <c r="G602" s="1"/>
      <c r="H602" s="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3"/>
      <c r="D603" s="1"/>
      <c r="E603" s="1"/>
      <c r="F603" s="1"/>
      <c r="G603" s="1"/>
      <c r="H603" s="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3"/>
      <c r="D604" s="1"/>
      <c r="E604" s="1"/>
      <c r="F604" s="1"/>
      <c r="G604" s="1"/>
      <c r="H604" s="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3"/>
      <c r="D605" s="1"/>
      <c r="E605" s="1"/>
      <c r="F605" s="1"/>
      <c r="G605" s="1"/>
      <c r="H605" s="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3"/>
      <c r="D606" s="1"/>
      <c r="E606" s="1"/>
      <c r="F606" s="1"/>
      <c r="G606" s="1"/>
      <c r="H606" s="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3"/>
      <c r="D607" s="1"/>
      <c r="E607" s="1"/>
      <c r="F607" s="1"/>
      <c r="G607" s="1"/>
      <c r="H607" s="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3"/>
      <c r="D608" s="1"/>
      <c r="E608" s="1"/>
      <c r="F608" s="1"/>
      <c r="G608" s="1"/>
      <c r="H608" s="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3"/>
      <c r="D609" s="1"/>
      <c r="E609" s="1"/>
      <c r="F609" s="1"/>
      <c r="G609" s="1"/>
      <c r="H609" s="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3"/>
      <c r="D610" s="1"/>
      <c r="E610" s="1"/>
      <c r="F610" s="1"/>
      <c r="G610" s="1"/>
      <c r="H610" s="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3"/>
      <c r="D611" s="1"/>
      <c r="E611" s="1"/>
      <c r="F611" s="1"/>
      <c r="G611" s="1"/>
      <c r="H611" s="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3"/>
      <c r="D612" s="1"/>
      <c r="E612" s="1"/>
      <c r="F612" s="1"/>
      <c r="G612" s="1"/>
      <c r="H612" s="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3"/>
      <c r="D613" s="1"/>
      <c r="E613" s="1"/>
      <c r="F613" s="1"/>
      <c r="G613" s="1"/>
      <c r="H613" s="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3"/>
      <c r="D614" s="1"/>
      <c r="E614" s="1"/>
      <c r="F614" s="1"/>
      <c r="G614" s="1"/>
      <c r="H614" s="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3"/>
      <c r="D615" s="1"/>
      <c r="E615" s="1"/>
      <c r="F615" s="1"/>
      <c r="G615" s="1"/>
      <c r="H615" s="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3"/>
      <c r="D616" s="1"/>
      <c r="E616" s="1"/>
      <c r="F616" s="1"/>
      <c r="G616" s="1"/>
      <c r="H616" s="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3"/>
      <c r="D617" s="1"/>
      <c r="E617" s="1"/>
      <c r="F617" s="1"/>
      <c r="G617" s="1"/>
      <c r="H617" s="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3"/>
      <c r="D618" s="1"/>
      <c r="E618" s="1"/>
      <c r="F618" s="1"/>
      <c r="G618" s="1"/>
      <c r="H618" s="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3"/>
      <c r="D619" s="1"/>
      <c r="E619" s="1"/>
      <c r="F619" s="1"/>
      <c r="G619" s="1"/>
      <c r="H619" s="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3"/>
      <c r="D620" s="1"/>
      <c r="E620" s="1"/>
      <c r="F620" s="1"/>
      <c r="G620" s="1"/>
      <c r="H620" s="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3"/>
      <c r="D621" s="1"/>
      <c r="E621" s="1"/>
      <c r="F621" s="1"/>
      <c r="G621" s="1"/>
      <c r="H621" s="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3"/>
      <c r="D622" s="1"/>
      <c r="E622" s="1"/>
      <c r="F622" s="1"/>
      <c r="G622" s="1"/>
      <c r="H622" s="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3"/>
      <c r="D623" s="1"/>
      <c r="E623" s="1"/>
      <c r="F623" s="1"/>
      <c r="G623" s="1"/>
      <c r="H623" s="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3"/>
      <c r="D624" s="1"/>
      <c r="E624" s="1"/>
      <c r="F624" s="1"/>
      <c r="G624" s="1"/>
      <c r="H624" s="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3"/>
      <c r="D625" s="1"/>
      <c r="E625" s="1"/>
      <c r="F625" s="1"/>
      <c r="G625" s="1"/>
      <c r="H625" s="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3"/>
      <c r="D626" s="1"/>
      <c r="E626" s="1"/>
      <c r="F626" s="1"/>
      <c r="G626" s="1"/>
      <c r="H626" s="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3"/>
      <c r="D627" s="1"/>
      <c r="E627" s="1"/>
      <c r="F627" s="1"/>
      <c r="G627" s="1"/>
      <c r="H627" s="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3"/>
      <c r="D628" s="1"/>
      <c r="E628" s="1"/>
      <c r="F628" s="1"/>
      <c r="G628" s="1"/>
      <c r="H628" s="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3"/>
      <c r="D629" s="1"/>
      <c r="E629" s="1"/>
      <c r="F629" s="1"/>
      <c r="G629" s="1"/>
      <c r="H629" s="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3"/>
      <c r="D630" s="1"/>
      <c r="E630" s="1"/>
      <c r="F630" s="1"/>
      <c r="G630" s="1"/>
      <c r="H630" s="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3"/>
      <c r="D631" s="1"/>
      <c r="E631" s="1"/>
      <c r="F631" s="1"/>
      <c r="G631" s="1"/>
      <c r="H631" s="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3"/>
      <c r="D632" s="1"/>
      <c r="E632" s="1"/>
      <c r="F632" s="1"/>
      <c r="G632" s="1"/>
      <c r="H632" s="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3"/>
      <c r="D633" s="1"/>
      <c r="E633" s="1"/>
      <c r="F633" s="1"/>
      <c r="G633" s="1"/>
      <c r="H633" s="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3"/>
      <c r="D634" s="1"/>
      <c r="E634" s="1"/>
      <c r="F634" s="1"/>
      <c r="G634" s="1"/>
      <c r="H634" s="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3"/>
      <c r="D635" s="1"/>
      <c r="E635" s="1"/>
      <c r="F635" s="1"/>
      <c r="G635" s="1"/>
      <c r="H635" s="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3"/>
      <c r="D636" s="1"/>
      <c r="E636" s="1"/>
      <c r="F636" s="1"/>
      <c r="G636" s="1"/>
      <c r="H636" s="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3"/>
      <c r="D637" s="1"/>
      <c r="E637" s="1"/>
      <c r="F637" s="1"/>
      <c r="G637" s="1"/>
      <c r="H637" s="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3"/>
      <c r="D638" s="1"/>
      <c r="E638" s="1"/>
      <c r="F638" s="1"/>
      <c r="G638" s="1"/>
      <c r="H638" s="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3"/>
      <c r="D639" s="1"/>
      <c r="E639" s="1"/>
      <c r="F639" s="1"/>
      <c r="G639" s="1"/>
      <c r="H639" s="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3"/>
      <c r="D640" s="1"/>
      <c r="E640" s="1"/>
      <c r="F640" s="1"/>
      <c r="G640" s="1"/>
      <c r="H640" s="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3"/>
      <c r="D641" s="1"/>
      <c r="E641" s="1"/>
      <c r="F641" s="1"/>
      <c r="G641" s="1"/>
      <c r="H641" s="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3"/>
      <c r="D642" s="1"/>
      <c r="E642" s="1"/>
      <c r="F642" s="1"/>
      <c r="G642" s="1"/>
      <c r="H642" s="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3"/>
      <c r="D643" s="1"/>
      <c r="E643" s="1"/>
      <c r="F643" s="1"/>
      <c r="G643" s="1"/>
      <c r="H643" s="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3"/>
      <c r="D644" s="1"/>
      <c r="E644" s="1"/>
      <c r="F644" s="1"/>
      <c r="G644" s="1"/>
      <c r="H644" s="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3"/>
      <c r="D645" s="1"/>
      <c r="E645" s="1"/>
      <c r="F645" s="1"/>
      <c r="G645" s="1"/>
      <c r="H645" s="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3"/>
      <c r="D646" s="1"/>
      <c r="E646" s="1"/>
      <c r="F646" s="1"/>
      <c r="G646" s="1"/>
      <c r="H646" s="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3"/>
      <c r="D647" s="1"/>
      <c r="E647" s="1"/>
      <c r="F647" s="1"/>
      <c r="G647" s="1"/>
      <c r="H647" s="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3"/>
      <c r="D648" s="1"/>
      <c r="E648" s="1"/>
      <c r="F648" s="1"/>
      <c r="G648" s="1"/>
      <c r="H648" s="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3"/>
      <c r="D649" s="1"/>
      <c r="E649" s="1"/>
      <c r="F649" s="1"/>
      <c r="G649" s="1"/>
      <c r="H649" s="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3"/>
      <c r="D650" s="1"/>
      <c r="E650" s="1"/>
      <c r="F650" s="1"/>
      <c r="G650" s="1"/>
      <c r="H650" s="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3"/>
      <c r="D651" s="1"/>
      <c r="E651" s="1"/>
      <c r="F651" s="1"/>
      <c r="G651" s="1"/>
      <c r="H651" s="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3"/>
      <c r="D652" s="1"/>
      <c r="E652" s="1"/>
      <c r="F652" s="1"/>
      <c r="G652" s="1"/>
      <c r="H652" s="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3"/>
      <c r="D653" s="1"/>
      <c r="E653" s="1"/>
      <c r="F653" s="1"/>
      <c r="G653" s="1"/>
      <c r="H653" s="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3"/>
      <c r="D654" s="1"/>
      <c r="E654" s="1"/>
      <c r="F654" s="1"/>
      <c r="G654" s="1"/>
      <c r="H654" s="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3"/>
      <c r="D655" s="1"/>
      <c r="E655" s="1"/>
      <c r="F655" s="1"/>
      <c r="G655" s="1"/>
      <c r="H655" s="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3"/>
      <c r="D656" s="1"/>
      <c r="E656" s="1"/>
      <c r="F656" s="1"/>
      <c r="G656" s="1"/>
      <c r="H656" s="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3"/>
      <c r="D657" s="1"/>
      <c r="E657" s="1"/>
      <c r="F657" s="1"/>
      <c r="G657" s="1"/>
      <c r="H657" s="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3"/>
      <c r="D658" s="1"/>
      <c r="E658" s="1"/>
      <c r="F658" s="1"/>
      <c r="G658" s="1"/>
      <c r="H658" s="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3"/>
      <c r="D659" s="1"/>
      <c r="E659" s="1"/>
      <c r="F659" s="1"/>
      <c r="G659" s="1"/>
      <c r="H659" s="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3"/>
      <c r="D660" s="1"/>
      <c r="E660" s="1"/>
      <c r="F660" s="1"/>
      <c r="G660" s="1"/>
      <c r="H660" s="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3"/>
      <c r="D661" s="1"/>
      <c r="E661" s="1"/>
      <c r="F661" s="1"/>
      <c r="G661" s="1"/>
      <c r="H661" s="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3"/>
      <c r="D662" s="1"/>
      <c r="E662" s="1"/>
      <c r="F662" s="1"/>
      <c r="G662" s="1"/>
      <c r="H662" s="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3"/>
      <c r="D663" s="1"/>
      <c r="E663" s="1"/>
      <c r="F663" s="1"/>
      <c r="G663" s="1"/>
      <c r="H663" s="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3"/>
      <c r="D664" s="1"/>
      <c r="E664" s="1"/>
      <c r="F664" s="1"/>
      <c r="G664" s="1"/>
      <c r="H664" s="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3"/>
      <c r="D665" s="1"/>
      <c r="E665" s="1"/>
      <c r="F665" s="1"/>
      <c r="G665" s="1"/>
      <c r="H665" s="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3"/>
      <c r="D666" s="1"/>
      <c r="E666" s="1"/>
      <c r="F666" s="1"/>
      <c r="G666" s="1"/>
      <c r="H666" s="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3"/>
      <c r="D667" s="1"/>
      <c r="E667" s="1"/>
      <c r="F667" s="1"/>
      <c r="G667" s="1"/>
      <c r="H667" s="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3"/>
      <c r="D668" s="1"/>
      <c r="E668" s="1"/>
      <c r="F668" s="1"/>
      <c r="G668" s="1"/>
      <c r="H668" s="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3"/>
      <c r="D669" s="1"/>
      <c r="E669" s="1"/>
      <c r="F669" s="1"/>
      <c r="G669" s="1"/>
      <c r="H669" s="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3"/>
      <c r="D670" s="1"/>
      <c r="E670" s="1"/>
      <c r="F670" s="1"/>
      <c r="G670" s="1"/>
      <c r="H670" s="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3"/>
      <c r="D671" s="1"/>
      <c r="E671" s="1"/>
      <c r="F671" s="1"/>
      <c r="G671" s="1"/>
      <c r="H671" s="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3"/>
      <c r="D672" s="1"/>
      <c r="E672" s="1"/>
      <c r="F672" s="1"/>
      <c r="G672" s="1"/>
      <c r="H672" s="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3"/>
      <c r="D673" s="1"/>
      <c r="E673" s="1"/>
      <c r="F673" s="1"/>
      <c r="G673" s="1"/>
      <c r="H673" s="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3"/>
      <c r="D674" s="1"/>
      <c r="E674" s="1"/>
      <c r="F674" s="1"/>
      <c r="G674" s="1"/>
      <c r="H674" s="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3"/>
      <c r="D675" s="1"/>
      <c r="E675" s="1"/>
      <c r="F675" s="1"/>
      <c r="G675" s="1"/>
      <c r="H675" s="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3"/>
      <c r="D676" s="1"/>
      <c r="E676" s="1"/>
      <c r="F676" s="1"/>
      <c r="G676" s="1"/>
      <c r="H676" s="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3"/>
      <c r="D677" s="1"/>
      <c r="E677" s="1"/>
      <c r="F677" s="1"/>
      <c r="G677" s="1"/>
      <c r="H677" s="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3"/>
      <c r="D678" s="1"/>
      <c r="E678" s="1"/>
      <c r="F678" s="1"/>
      <c r="G678" s="1"/>
      <c r="H678" s="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3"/>
      <c r="D679" s="1"/>
      <c r="E679" s="1"/>
      <c r="F679" s="1"/>
      <c r="G679" s="1"/>
      <c r="H679" s="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3"/>
      <c r="D680" s="1"/>
      <c r="E680" s="1"/>
      <c r="F680" s="1"/>
      <c r="G680" s="1"/>
      <c r="H680" s="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3"/>
      <c r="D681" s="1"/>
      <c r="E681" s="1"/>
      <c r="F681" s="1"/>
      <c r="G681" s="1"/>
      <c r="H681" s="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3"/>
      <c r="D682" s="1"/>
      <c r="E682" s="1"/>
      <c r="F682" s="1"/>
      <c r="G682" s="1"/>
      <c r="H682" s="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3"/>
      <c r="D683" s="1"/>
      <c r="E683" s="1"/>
      <c r="F683" s="1"/>
      <c r="G683" s="1"/>
      <c r="H683" s="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3"/>
      <c r="D684" s="1"/>
      <c r="E684" s="1"/>
      <c r="F684" s="1"/>
      <c r="G684" s="1"/>
      <c r="H684" s="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3"/>
      <c r="D685" s="1"/>
      <c r="E685" s="1"/>
      <c r="F685" s="1"/>
      <c r="G685" s="1"/>
      <c r="H685" s="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3"/>
      <c r="D686" s="1"/>
      <c r="E686" s="1"/>
      <c r="F686" s="1"/>
      <c r="G686" s="1"/>
      <c r="H686" s="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3"/>
      <c r="D687" s="1"/>
      <c r="E687" s="1"/>
      <c r="F687" s="1"/>
      <c r="G687" s="1"/>
      <c r="H687" s="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3"/>
      <c r="D688" s="1"/>
      <c r="E688" s="1"/>
      <c r="F688" s="1"/>
      <c r="G688" s="1"/>
      <c r="H688" s="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3"/>
      <c r="D689" s="1"/>
      <c r="E689" s="1"/>
      <c r="F689" s="1"/>
      <c r="G689" s="1"/>
      <c r="H689" s="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3"/>
      <c r="D690" s="1"/>
      <c r="E690" s="1"/>
      <c r="F690" s="1"/>
      <c r="G690" s="1"/>
      <c r="H690" s="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3"/>
      <c r="D691" s="1"/>
      <c r="E691" s="1"/>
      <c r="F691" s="1"/>
      <c r="G691" s="1"/>
      <c r="H691" s="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3"/>
      <c r="D692" s="1"/>
      <c r="E692" s="1"/>
      <c r="F692" s="1"/>
      <c r="G692" s="1"/>
      <c r="H692" s="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3"/>
      <c r="D693" s="1"/>
      <c r="E693" s="1"/>
      <c r="F693" s="1"/>
      <c r="G693" s="1"/>
      <c r="H693" s="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3"/>
      <c r="D694" s="1"/>
      <c r="E694" s="1"/>
      <c r="F694" s="1"/>
      <c r="G694" s="1"/>
      <c r="H694" s="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3"/>
      <c r="D695" s="1"/>
      <c r="E695" s="1"/>
      <c r="F695" s="1"/>
      <c r="G695" s="1"/>
      <c r="H695" s="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3"/>
      <c r="D696" s="1"/>
      <c r="E696" s="1"/>
      <c r="F696" s="1"/>
      <c r="G696" s="1"/>
      <c r="H696" s="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3"/>
      <c r="D697" s="1"/>
      <c r="E697" s="1"/>
      <c r="F697" s="1"/>
      <c r="G697" s="1"/>
      <c r="H697" s="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3"/>
      <c r="D698" s="1"/>
      <c r="E698" s="1"/>
      <c r="F698" s="1"/>
      <c r="G698" s="1"/>
      <c r="H698" s="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3"/>
      <c r="D699" s="1"/>
      <c r="E699" s="1"/>
      <c r="F699" s="1"/>
      <c r="G699" s="1"/>
      <c r="H699" s="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3"/>
      <c r="D700" s="1"/>
      <c r="E700" s="1"/>
      <c r="F700" s="1"/>
      <c r="G700" s="1"/>
      <c r="H700" s="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3"/>
      <c r="D701" s="1"/>
      <c r="E701" s="1"/>
      <c r="F701" s="1"/>
      <c r="G701" s="1"/>
      <c r="H701" s="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3"/>
      <c r="D702" s="1"/>
      <c r="E702" s="1"/>
      <c r="F702" s="1"/>
      <c r="G702" s="1"/>
      <c r="H702" s="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3"/>
      <c r="D703" s="1"/>
      <c r="E703" s="1"/>
      <c r="F703" s="1"/>
      <c r="G703" s="1"/>
      <c r="H703" s="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3"/>
      <c r="D704" s="1"/>
      <c r="E704" s="1"/>
      <c r="F704" s="1"/>
      <c r="G704" s="1"/>
      <c r="H704" s="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3"/>
      <c r="D705" s="1"/>
      <c r="E705" s="1"/>
      <c r="F705" s="1"/>
      <c r="G705" s="1"/>
      <c r="H705" s="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3"/>
      <c r="D706" s="1"/>
      <c r="E706" s="1"/>
      <c r="F706" s="1"/>
      <c r="G706" s="1"/>
      <c r="H706" s="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3"/>
      <c r="D707" s="1"/>
      <c r="E707" s="1"/>
      <c r="F707" s="1"/>
      <c r="G707" s="1"/>
      <c r="H707" s="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3"/>
      <c r="D708" s="1"/>
      <c r="E708" s="1"/>
      <c r="F708" s="1"/>
      <c r="G708" s="1"/>
      <c r="H708" s="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3"/>
      <c r="D709" s="1"/>
      <c r="E709" s="1"/>
      <c r="F709" s="1"/>
      <c r="G709" s="1"/>
      <c r="H709" s="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3"/>
      <c r="D710" s="1"/>
      <c r="E710" s="1"/>
      <c r="F710" s="1"/>
      <c r="G710" s="1"/>
      <c r="H710" s="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3"/>
      <c r="D711" s="1"/>
      <c r="E711" s="1"/>
      <c r="F711" s="1"/>
      <c r="G711" s="1"/>
      <c r="H711" s="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3"/>
      <c r="D712" s="1"/>
      <c r="E712" s="1"/>
      <c r="F712" s="1"/>
      <c r="G712" s="1"/>
      <c r="H712" s="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3"/>
      <c r="D713" s="1"/>
      <c r="E713" s="1"/>
      <c r="F713" s="1"/>
      <c r="G713" s="1"/>
      <c r="H713" s="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3"/>
      <c r="D714" s="1"/>
      <c r="E714" s="1"/>
      <c r="F714" s="1"/>
      <c r="G714" s="1"/>
      <c r="H714" s="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3"/>
      <c r="D715" s="1"/>
      <c r="E715" s="1"/>
      <c r="F715" s="1"/>
      <c r="G715" s="1"/>
      <c r="H715" s="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3"/>
      <c r="D716" s="1"/>
      <c r="E716" s="1"/>
      <c r="F716" s="1"/>
      <c r="G716" s="1"/>
      <c r="H716" s="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3"/>
      <c r="D717" s="1"/>
      <c r="E717" s="1"/>
      <c r="F717" s="1"/>
      <c r="G717" s="1"/>
      <c r="H717" s="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3"/>
      <c r="D718" s="1"/>
      <c r="E718" s="1"/>
      <c r="F718" s="1"/>
      <c r="G718" s="1"/>
      <c r="H718" s="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3"/>
      <c r="D719" s="1"/>
      <c r="E719" s="1"/>
      <c r="F719" s="1"/>
      <c r="G719" s="1"/>
      <c r="H719" s="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3"/>
      <c r="D720" s="1"/>
      <c r="E720" s="1"/>
      <c r="F720" s="1"/>
      <c r="G720" s="1"/>
      <c r="H720" s="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3"/>
      <c r="D721" s="1"/>
      <c r="E721" s="1"/>
      <c r="F721" s="1"/>
      <c r="G721" s="1"/>
      <c r="H721" s="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3"/>
      <c r="D722" s="1"/>
      <c r="E722" s="1"/>
      <c r="F722" s="1"/>
      <c r="G722" s="1"/>
      <c r="H722" s="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3"/>
      <c r="D723" s="1"/>
      <c r="E723" s="1"/>
      <c r="F723" s="1"/>
      <c r="G723" s="1"/>
      <c r="H723" s="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3"/>
      <c r="D724" s="1"/>
      <c r="E724" s="1"/>
      <c r="F724" s="1"/>
      <c r="G724" s="1"/>
      <c r="H724" s="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3"/>
      <c r="D725" s="1"/>
      <c r="E725" s="1"/>
      <c r="F725" s="1"/>
      <c r="G725" s="1"/>
      <c r="H725" s="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3"/>
      <c r="D726" s="1"/>
      <c r="E726" s="1"/>
      <c r="F726" s="1"/>
      <c r="G726" s="1"/>
      <c r="H726" s="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3"/>
      <c r="D727" s="1"/>
      <c r="E727" s="1"/>
      <c r="F727" s="1"/>
      <c r="G727" s="1"/>
      <c r="H727" s="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3"/>
      <c r="D728" s="1"/>
      <c r="E728" s="1"/>
      <c r="F728" s="1"/>
      <c r="G728" s="1"/>
      <c r="H728" s="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3"/>
      <c r="D729" s="1"/>
      <c r="E729" s="1"/>
      <c r="F729" s="1"/>
      <c r="G729" s="1"/>
      <c r="H729" s="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3"/>
      <c r="D730" s="1"/>
      <c r="E730" s="1"/>
      <c r="F730" s="1"/>
      <c r="G730" s="1"/>
      <c r="H730" s="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3"/>
      <c r="D731" s="1"/>
      <c r="E731" s="1"/>
      <c r="F731" s="1"/>
      <c r="G731" s="1"/>
      <c r="H731" s="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3"/>
      <c r="D732" s="1"/>
      <c r="E732" s="1"/>
      <c r="F732" s="1"/>
      <c r="G732" s="1"/>
      <c r="H732" s="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3"/>
      <c r="D733" s="1"/>
      <c r="E733" s="1"/>
      <c r="F733" s="1"/>
      <c r="G733" s="1"/>
      <c r="H733" s="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3"/>
      <c r="D734" s="1"/>
      <c r="E734" s="1"/>
      <c r="F734" s="1"/>
      <c r="G734" s="1"/>
      <c r="H734" s="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3"/>
      <c r="D735" s="1"/>
      <c r="E735" s="1"/>
      <c r="F735" s="1"/>
      <c r="G735" s="1"/>
      <c r="H735" s="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3"/>
      <c r="D736" s="1"/>
      <c r="E736" s="1"/>
      <c r="F736" s="1"/>
      <c r="G736" s="1"/>
      <c r="H736" s="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3"/>
      <c r="D737" s="1"/>
      <c r="E737" s="1"/>
      <c r="F737" s="1"/>
      <c r="G737" s="1"/>
      <c r="H737" s="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3"/>
      <c r="D738" s="1"/>
      <c r="E738" s="1"/>
      <c r="F738" s="1"/>
      <c r="G738" s="1"/>
      <c r="H738" s="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3"/>
      <c r="D739" s="1"/>
      <c r="E739" s="1"/>
      <c r="F739" s="1"/>
      <c r="G739" s="1"/>
      <c r="H739" s="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3"/>
      <c r="D740" s="1"/>
      <c r="E740" s="1"/>
      <c r="F740" s="1"/>
      <c r="G740" s="1"/>
      <c r="H740" s="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3"/>
      <c r="D741" s="1"/>
      <c r="E741" s="1"/>
      <c r="F741" s="1"/>
      <c r="G741" s="1"/>
      <c r="H741" s="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3"/>
      <c r="D742" s="1"/>
      <c r="E742" s="1"/>
      <c r="F742" s="1"/>
      <c r="G742" s="1"/>
      <c r="H742" s="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3"/>
      <c r="D743" s="1"/>
      <c r="E743" s="1"/>
      <c r="F743" s="1"/>
      <c r="G743" s="1"/>
      <c r="H743" s="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3"/>
      <c r="D744" s="1"/>
      <c r="E744" s="1"/>
      <c r="F744" s="1"/>
      <c r="G744" s="1"/>
      <c r="H744" s="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3"/>
      <c r="D745" s="1"/>
      <c r="E745" s="1"/>
      <c r="F745" s="1"/>
      <c r="G745" s="1"/>
      <c r="H745" s="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3"/>
      <c r="D746" s="1"/>
      <c r="E746" s="1"/>
      <c r="F746" s="1"/>
      <c r="G746" s="1"/>
      <c r="H746" s="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3"/>
      <c r="D747" s="1"/>
      <c r="E747" s="1"/>
      <c r="F747" s="1"/>
      <c r="G747" s="1"/>
      <c r="H747" s="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3"/>
      <c r="D748" s="1"/>
      <c r="E748" s="1"/>
      <c r="F748" s="1"/>
      <c r="G748" s="1"/>
      <c r="H748" s="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3"/>
      <c r="D749" s="1"/>
      <c r="E749" s="1"/>
      <c r="F749" s="1"/>
      <c r="G749" s="1"/>
      <c r="H749" s="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3"/>
      <c r="D750" s="1"/>
      <c r="E750" s="1"/>
      <c r="F750" s="1"/>
      <c r="G750" s="1"/>
      <c r="H750" s="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3"/>
      <c r="D751" s="1"/>
      <c r="E751" s="1"/>
      <c r="F751" s="1"/>
      <c r="G751" s="1"/>
      <c r="H751" s="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3"/>
      <c r="D752" s="1"/>
      <c r="E752" s="1"/>
      <c r="F752" s="1"/>
      <c r="G752" s="1"/>
      <c r="H752" s="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3"/>
      <c r="D753" s="1"/>
      <c r="E753" s="1"/>
      <c r="F753" s="1"/>
      <c r="G753" s="1"/>
      <c r="H753" s="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3"/>
      <c r="D754" s="1"/>
      <c r="E754" s="1"/>
      <c r="F754" s="1"/>
      <c r="G754" s="1"/>
      <c r="H754" s="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3"/>
      <c r="D755" s="1"/>
      <c r="E755" s="1"/>
      <c r="F755" s="1"/>
      <c r="G755" s="1"/>
      <c r="H755" s="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3"/>
      <c r="D756" s="1"/>
      <c r="E756" s="1"/>
      <c r="F756" s="1"/>
      <c r="G756" s="1"/>
      <c r="H756" s="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3"/>
      <c r="D757" s="1"/>
      <c r="E757" s="1"/>
      <c r="F757" s="1"/>
      <c r="G757" s="1"/>
      <c r="H757" s="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3"/>
      <c r="D758" s="1"/>
      <c r="E758" s="1"/>
      <c r="F758" s="1"/>
      <c r="G758" s="1"/>
      <c r="H758" s="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3"/>
      <c r="D759" s="1"/>
      <c r="E759" s="1"/>
      <c r="F759" s="1"/>
      <c r="G759" s="1"/>
      <c r="H759" s="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3"/>
      <c r="D760" s="1"/>
      <c r="E760" s="1"/>
      <c r="F760" s="1"/>
      <c r="G760" s="1"/>
      <c r="H760" s="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3"/>
      <c r="D761" s="1"/>
      <c r="E761" s="1"/>
      <c r="F761" s="1"/>
      <c r="G761" s="1"/>
      <c r="H761" s="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3"/>
      <c r="D762" s="1"/>
      <c r="E762" s="1"/>
      <c r="F762" s="1"/>
      <c r="G762" s="1"/>
      <c r="H762" s="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3"/>
      <c r="D763" s="1"/>
      <c r="E763" s="1"/>
      <c r="F763" s="1"/>
      <c r="G763" s="1"/>
      <c r="H763" s="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3"/>
      <c r="D764" s="1"/>
      <c r="E764" s="1"/>
      <c r="F764" s="1"/>
      <c r="G764" s="1"/>
      <c r="H764" s="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3"/>
      <c r="D765" s="1"/>
      <c r="E765" s="1"/>
      <c r="F765" s="1"/>
      <c r="G765" s="1"/>
      <c r="H765" s="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3"/>
      <c r="D766" s="1"/>
      <c r="E766" s="1"/>
      <c r="F766" s="1"/>
      <c r="G766" s="1"/>
      <c r="H766" s="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3"/>
      <c r="D767" s="1"/>
      <c r="E767" s="1"/>
      <c r="F767" s="1"/>
      <c r="G767" s="1"/>
      <c r="H767" s="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3"/>
      <c r="D768" s="1"/>
      <c r="E768" s="1"/>
      <c r="F768" s="1"/>
      <c r="G768" s="1"/>
      <c r="H768" s="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3"/>
      <c r="D769" s="1"/>
      <c r="E769" s="1"/>
      <c r="F769" s="1"/>
      <c r="G769" s="1"/>
      <c r="H769" s="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3"/>
      <c r="D770" s="1"/>
      <c r="E770" s="1"/>
      <c r="F770" s="1"/>
      <c r="G770" s="1"/>
      <c r="H770" s="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3"/>
      <c r="D771" s="1"/>
      <c r="E771" s="1"/>
      <c r="F771" s="1"/>
      <c r="G771" s="1"/>
      <c r="H771" s="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3"/>
      <c r="D772" s="1"/>
      <c r="E772" s="1"/>
      <c r="F772" s="1"/>
      <c r="G772" s="1"/>
      <c r="H772" s="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3"/>
      <c r="D773" s="1"/>
      <c r="E773" s="1"/>
      <c r="F773" s="1"/>
      <c r="G773" s="1"/>
      <c r="H773" s="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3"/>
      <c r="D774" s="1"/>
      <c r="E774" s="1"/>
      <c r="F774" s="1"/>
      <c r="G774" s="1"/>
      <c r="H774" s="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3"/>
      <c r="D775" s="1"/>
      <c r="E775" s="1"/>
      <c r="F775" s="1"/>
      <c r="G775" s="1"/>
      <c r="H775" s="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3"/>
      <c r="D776" s="1"/>
      <c r="E776" s="1"/>
      <c r="F776" s="1"/>
      <c r="G776" s="1"/>
      <c r="H776" s="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3"/>
      <c r="D777" s="1"/>
      <c r="E777" s="1"/>
      <c r="F777" s="1"/>
      <c r="G777" s="1"/>
      <c r="H777" s="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3"/>
      <c r="D778" s="1"/>
      <c r="E778" s="1"/>
      <c r="F778" s="1"/>
      <c r="G778" s="1"/>
      <c r="H778" s="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3"/>
      <c r="D779" s="1"/>
      <c r="E779" s="1"/>
      <c r="F779" s="1"/>
      <c r="G779" s="1"/>
      <c r="H779" s="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3"/>
      <c r="D780" s="1"/>
      <c r="E780" s="1"/>
      <c r="F780" s="1"/>
      <c r="G780" s="1"/>
      <c r="H780" s="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3"/>
      <c r="D781" s="1"/>
      <c r="E781" s="1"/>
      <c r="F781" s="1"/>
      <c r="G781" s="1"/>
      <c r="H781" s="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3"/>
      <c r="D782" s="1"/>
      <c r="E782" s="1"/>
      <c r="F782" s="1"/>
      <c r="G782" s="1"/>
      <c r="H782" s="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3"/>
      <c r="D783" s="1"/>
      <c r="E783" s="1"/>
      <c r="F783" s="1"/>
      <c r="G783" s="1"/>
      <c r="H783" s="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3"/>
      <c r="D784" s="1"/>
      <c r="E784" s="1"/>
      <c r="F784" s="1"/>
      <c r="G784" s="1"/>
      <c r="H784" s="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3"/>
      <c r="D785" s="1"/>
      <c r="E785" s="1"/>
      <c r="F785" s="1"/>
      <c r="G785" s="1"/>
      <c r="H785" s="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3"/>
      <c r="D786" s="1"/>
      <c r="E786" s="1"/>
      <c r="F786" s="1"/>
      <c r="G786" s="1"/>
      <c r="H786" s="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3"/>
      <c r="D787" s="1"/>
      <c r="E787" s="1"/>
      <c r="F787" s="1"/>
      <c r="G787" s="1"/>
      <c r="H787" s="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3"/>
      <c r="D788" s="1"/>
      <c r="E788" s="1"/>
      <c r="F788" s="1"/>
      <c r="G788" s="1"/>
      <c r="H788" s="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3"/>
      <c r="D789" s="1"/>
      <c r="E789" s="1"/>
      <c r="F789" s="1"/>
      <c r="G789" s="1"/>
      <c r="H789" s="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3"/>
      <c r="D790" s="1"/>
      <c r="E790" s="1"/>
      <c r="F790" s="1"/>
      <c r="G790" s="1"/>
      <c r="H790" s="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3"/>
      <c r="D791" s="1"/>
      <c r="E791" s="1"/>
      <c r="F791" s="1"/>
      <c r="G791" s="1"/>
      <c r="H791" s="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3"/>
      <c r="D792" s="1"/>
      <c r="E792" s="1"/>
      <c r="F792" s="1"/>
      <c r="G792" s="1"/>
      <c r="H792" s="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3"/>
      <c r="D793" s="1"/>
      <c r="E793" s="1"/>
      <c r="F793" s="1"/>
      <c r="G793" s="1"/>
      <c r="H793" s="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3"/>
      <c r="D794" s="1"/>
      <c r="E794" s="1"/>
      <c r="F794" s="1"/>
      <c r="G794" s="1"/>
      <c r="H794" s="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3"/>
      <c r="D795" s="1"/>
      <c r="E795" s="1"/>
      <c r="F795" s="1"/>
      <c r="G795" s="1"/>
      <c r="H795" s="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3"/>
      <c r="D796" s="1"/>
      <c r="E796" s="1"/>
      <c r="F796" s="1"/>
      <c r="G796" s="1"/>
      <c r="H796" s="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3"/>
      <c r="D797" s="1"/>
      <c r="E797" s="1"/>
      <c r="F797" s="1"/>
      <c r="G797" s="1"/>
      <c r="H797" s="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3"/>
      <c r="D798" s="1"/>
      <c r="E798" s="1"/>
      <c r="F798" s="1"/>
      <c r="G798" s="1"/>
      <c r="H798" s="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3"/>
      <c r="D799" s="1"/>
      <c r="E799" s="1"/>
      <c r="F799" s="1"/>
      <c r="G799" s="1"/>
      <c r="H799" s="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3"/>
      <c r="D800" s="1"/>
      <c r="E800" s="1"/>
      <c r="F800" s="1"/>
      <c r="G800" s="1"/>
      <c r="H800" s="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3"/>
      <c r="D801" s="1"/>
      <c r="E801" s="1"/>
      <c r="F801" s="1"/>
      <c r="G801" s="1"/>
      <c r="H801" s="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3"/>
      <c r="D802" s="1"/>
      <c r="E802" s="1"/>
      <c r="F802" s="1"/>
      <c r="G802" s="1"/>
      <c r="H802" s="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3"/>
      <c r="D803" s="1"/>
      <c r="E803" s="1"/>
      <c r="F803" s="1"/>
      <c r="G803" s="1"/>
      <c r="H803" s="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3"/>
      <c r="D804" s="1"/>
      <c r="E804" s="1"/>
      <c r="F804" s="1"/>
      <c r="G804" s="1"/>
      <c r="H804" s="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3"/>
      <c r="D805" s="1"/>
      <c r="E805" s="1"/>
      <c r="F805" s="1"/>
      <c r="G805" s="1"/>
      <c r="H805" s="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3"/>
      <c r="D806" s="1"/>
      <c r="E806" s="1"/>
      <c r="F806" s="1"/>
      <c r="G806" s="1"/>
      <c r="H806" s="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3"/>
      <c r="D807" s="1"/>
      <c r="E807" s="1"/>
      <c r="F807" s="1"/>
      <c r="G807" s="1"/>
      <c r="H807" s="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3"/>
      <c r="D808" s="1"/>
      <c r="E808" s="1"/>
      <c r="F808" s="1"/>
      <c r="G808" s="1"/>
      <c r="H808" s="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3"/>
      <c r="D809" s="1"/>
      <c r="E809" s="1"/>
      <c r="F809" s="1"/>
      <c r="G809" s="1"/>
      <c r="H809" s="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3"/>
      <c r="D810" s="1"/>
      <c r="E810" s="1"/>
      <c r="F810" s="1"/>
      <c r="G810" s="1"/>
      <c r="H810" s="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3"/>
      <c r="D811" s="1"/>
      <c r="E811" s="1"/>
      <c r="F811" s="1"/>
      <c r="G811" s="1"/>
      <c r="H811" s="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3"/>
      <c r="D812" s="1"/>
      <c r="E812" s="1"/>
      <c r="F812" s="1"/>
      <c r="G812" s="1"/>
      <c r="H812" s="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3"/>
      <c r="D813" s="1"/>
      <c r="E813" s="1"/>
      <c r="F813" s="1"/>
      <c r="G813" s="1"/>
      <c r="H813" s="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3"/>
      <c r="D814" s="1"/>
      <c r="E814" s="1"/>
      <c r="F814" s="1"/>
      <c r="G814" s="1"/>
      <c r="H814" s="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3"/>
      <c r="D815" s="1"/>
      <c r="E815" s="1"/>
      <c r="F815" s="1"/>
      <c r="G815" s="1"/>
      <c r="H815" s="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3"/>
      <c r="D816" s="1"/>
      <c r="E816" s="1"/>
      <c r="F816" s="1"/>
      <c r="G816" s="1"/>
      <c r="H816" s="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3"/>
      <c r="D817" s="1"/>
      <c r="E817" s="1"/>
      <c r="F817" s="1"/>
      <c r="G817" s="1"/>
      <c r="H817" s="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3"/>
      <c r="D818" s="1"/>
      <c r="E818" s="1"/>
      <c r="F818" s="1"/>
      <c r="G818" s="1"/>
      <c r="H818" s="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3"/>
      <c r="D819" s="1"/>
      <c r="E819" s="1"/>
      <c r="F819" s="1"/>
      <c r="G819" s="1"/>
      <c r="H819" s="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3"/>
      <c r="D820" s="1"/>
      <c r="E820" s="1"/>
      <c r="F820" s="1"/>
      <c r="G820" s="1"/>
      <c r="H820" s="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3"/>
      <c r="D821" s="1"/>
      <c r="E821" s="1"/>
      <c r="F821" s="1"/>
      <c r="G821" s="1"/>
      <c r="H821" s="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3"/>
      <c r="D822" s="1"/>
      <c r="E822" s="1"/>
      <c r="F822" s="1"/>
      <c r="G822" s="1"/>
      <c r="H822" s="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3"/>
      <c r="D823" s="1"/>
      <c r="E823" s="1"/>
      <c r="F823" s="1"/>
      <c r="G823" s="1"/>
      <c r="H823" s="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3"/>
      <c r="D824" s="1"/>
      <c r="E824" s="1"/>
      <c r="F824" s="1"/>
      <c r="G824" s="1"/>
      <c r="H824" s="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3"/>
      <c r="D825" s="1"/>
      <c r="E825" s="1"/>
      <c r="F825" s="1"/>
      <c r="G825" s="1"/>
      <c r="H825" s="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3"/>
      <c r="D826" s="1"/>
      <c r="E826" s="1"/>
      <c r="F826" s="1"/>
      <c r="G826" s="1"/>
      <c r="H826" s="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3"/>
      <c r="D827" s="1"/>
      <c r="E827" s="1"/>
      <c r="F827" s="1"/>
      <c r="G827" s="1"/>
      <c r="H827" s="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3"/>
      <c r="D828" s="1"/>
      <c r="E828" s="1"/>
      <c r="F828" s="1"/>
      <c r="G828" s="1"/>
      <c r="H828" s="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3"/>
      <c r="D829" s="1"/>
      <c r="E829" s="1"/>
      <c r="F829" s="1"/>
      <c r="G829" s="1"/>
      <c r="H829" s="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3"/>
      <c r="D830" s="1"/>
      <c r="E830" s="1"/>
      <c r="F830" s="1"/>
      <c r="G830" s="1"/>
      <c r="H830" s="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3"/>
      <c r="D831" s="1"/>
      <c r="E831" s="1"/>
      <c r="F831" s="1"/>
      <c r="G831" s="1"/>
      <c r="H831" s="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3"/>
      <c r="D832" s="1"/>
      <c r="E832" s="1"/>
      <c r="F832" s="1"/>
      <c r="G832" s="1"/>
      <c r="H832" s="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3"/>
      <c r="D833" s="1"/>
      <c r="E833" s="1"/>
      <c r="F833" s="1"/>
      <c r="G833" s="1"/>
      <c r="H833" s="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3"/>
      <c r="D834" s="1"/>
      <c r="E834" s="1"/>
      <c r="F834" s="1"/>
      <c r="G834" s="1"/>
      <c r="H834" s="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3"/>
      <c r="D835" s="1"/>
      <c r="E835" s="1"/>
      <c r="F835" s="1"/>
      <c r="G835" s="1"/>
      <c r="H835" s="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3"/>
      <c r="D836" s="1"/>
      <c r="E836" s="1"/>
      <c r="F836" s="1"/>
      <c r="G836" s="1"/>
      <c r="H836" s="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3"/>
      <c r="D837" s="1"/>
      <c r="E837" s="1"/>
      <c r="F837" s="1"/>
      <c r="G837" s="1"/>
      <c r="H837" s="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3"/>
      <c r="D838" s="1"/>
      <c r="E838" s="1"/>
      <c r="F838" s="1"/>
      <c r="G838" s="1"/>
      <c r="H838" s="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3"/>
      <c r="D839" s="1"/>
      <c r="E839" s="1"/>
      <c r="F839" s="1"/>
      <c r="G839" s="1"/>
      <c r="H839" s="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3"/>
      <c r="D840" s="1"/>
      <c r="E840" s="1"/>
      <c r="F840" s="1"/>
      <c r="G840" s="1"/>
      <c r="H840" s="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3"/>
      <c r="D841" s="1"/>
      <c r="E841" s="1"/>
      <c r="F841" s="1"/>
      <c r="G841" s="1"/>
      <c r="H841" s="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3"/>
      <c r="D842" s="1"/>
      <c r="E842" s="1"/>
      <c r="F842" s="1"/>
      <c r="G842" s="1"/>
      <c r="H842" s="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3"/>
      <c r="D843" s="1"/>
      <c r="E843" s="1"/>
      <c r="F843" s="1"/>
      <c r="G843" s="1"/>
      <c r="H843" s="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3"/>
      <c r="D844" s="1"/>
      <c r="E844" s="1"/>
      <c r="F844" s="1"/>
      <c r="G844" s="1"/>
      <c r="H844" s="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3"/>
      <c r="D845" s="1"/>
      <c r="E845" s="1"/>
      <c r="F845" s="1"/>
      <c r="G845" s="1"/>
      <c r="H845" s="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3"/>
      <c r="D846" s="1"/>
      <c r="E846" s="1"/>
      <c r="F846" s="1"/>
      <c r="G846" s="1"/>
      <c r="H846" s="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3"/>
      <c r="D847" s="1"/>
      <c r="E847" s="1"/>
      <c r="F847" s="1"/>
      <c r="G847" s="1"/>
      <c r="H847" s="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3"/>
      <c r="D848" s="1"/>
      <c r="E848" s="1"/>
      <c r="F848" s="1"/>
      <c r="G848" s="1"/>
      <c r="H848" s="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3"/>
      <c r="D849" s="1"/>
      <c r="E849" s="1"/>
      <c r="F849" s="1"/>
      <c r="G849" s="1"/>
      <c r="H849" s="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3"/>
      <c r="D850" s="1"/>
      <c r="E850" s="1"/>
      <c r="F850" s="1"/>
      <c r="G850" s="1"/>
      <c r="H850" s="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3"/>
      <c r="D851" s="1"/>
      <c r="E851" s="1"/>
      <c r="F851" s="1"/>
      <c r="G851" s="1"/>
      <c r="H851" s="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3"/>
      <c r="D852" s="1"/>
      <c r="E852" s="1"/>
      <c r="F852" s="1"/>
      <c r="G852" s="1"/>
      <c r="H852" s="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3"/>
      <c r="D853" s="1"/>
      <c r="E853" s="1"/>
      <c r="F853" s="1"/>
      <c r="G853" s="1"/>
      <c r="H853" s="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3"/>
      <c r="D854" s="1"/>
      <c r="E854" s="1"/>
      <c r="F854" s="1"/>
      <c r="G854" s="1"/>
      <c r="H854" s="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3"/>
      <c r="D855" s="1"/>
      <c r="E855" s="1"/>
      <c r="F855" s="1"/>
      <c r="G855" s="1"/>
      <c r="H855" s="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3"/>
      <c r="D856" s="1"/>
      <c r="E856" s="1"/>
      <c r="F856" s="1"/>
      <c r="G856" s="1"/>
      <c r="H856" s="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3"/>
      <c r="D857" s="1"/>
      <c r="E857" s="1"/>
      <c r="F857" s="1"/>
      <c r="G857" s="1"/>
      <c r="H857" s="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3"/>
      <c r="D858" s="1"/>
      <c r="E858" s="1"/>
      <c r="F858" s="1"/>
      <c r="G858" s="1"/>
      <c r="H858" s="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3"/>
      <c r="D859" s="1"/>
      <c r="E859" s="1"/>
      <c r="F859" s="1"/>
      <c r="G859" s="1"/>
      <c r="H859" s="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3"/>
      <c r="D860" s="1"/>
      <c r="E860" s="1"/>
      <c r="F860" s="1"/>
      <c r="G860" s="1"/>
      <c r="H860" s="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3"/>
      <c r="D861" s="1"/>
      <c r="E861" s="1"/>
      <c r="F861" s="1"/>
      <c r="G861" s="1"/>
      <c r="H861" s="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3"/>
      <c r="D862" s="1"/>
      <c r="E862" s="1"/>
      <c r="F862" s="1"/>
      <c r="G862" s="1"/>
      <c r="H862" s="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3"/>
      <c r="D863" s="1"/>
      <c r="E863" s="1"/>
      <c r="F863" s="1"/>
      <c r="G863" s="1"/>
      <c r="H863" s="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3"/>
      <c r="D864" s="1"/>
      <c r="E864" s="1"/>
      <c r="F864" s="1"/>
      <c r="G864" s="1"/>
      <c r="H864" s="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3"/>
      <c r="D865" s="1"/>
      <c r="E865" s="1"/>
      <c r="F865" s="1"/>
      <c r="G865" s="1"/>
      <c r="H865" s="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3"/>
      <c r="D866" s="1"/>
      <c r="E866" s="1"/>
      <c r="F866" s="1"/>
      <c r="G866" s="1"/>
      <c r="H866" s="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3"/>
      <c r="D867" s="1"/>
      <c r="E867" s="1"/>
      <c r="F867" s="1"/>
      <c r="G867" s="1"/>
      <c r="H867" s="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3"/>
      <c r="D868" s="1"/>
      <c r="E868" s="1"/>
      <c r="F868" s="1"/>
      <c r="G868" s="1"/>
      <c r="H868" s="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3"/>
      <c r="D869" s="1"/>
      <c r="E869" s="1"/>
      <c r="F869" s="1"/>
      <c r="G869" s="1"/>
      <c r="H869" s="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3"/>
      <c r="D870" s="1"/>
      <c r="E870" s="1"/>
      <c r="F870" s="1"/>
      <c r="G870" s="1"/>
      <c r="H870" s="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3"/>
      <c r="D871" s="1"/>
      <c r="E871" s="1"/>
      <c r="F871" s="1"/>
      <c r="G871" s="1"/>
      <c r="H871" s="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3"/>
      <c r="D872" s="1"/>
      <c r="E872" s="1"/>
      <c r="F872" s="1"/>
      <c r="G872" s="1"/>
      <c r="H872" s="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3"/>
      <c r="D873" s="1"/>
      <c r="E873" s="1"/>
      <c r="F873" s="1"/>
      <c r="G873" s="1"/>
      <c r="H873" s="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3"/>
      <c r="D874" s="1"/>
      <c r="E874" s="1"/>
      <c r="F874" s="1"/>
      <c r="G874" s="1"/>
      <c r="H874" s="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3"/>
      <c r="D875" s="1"/>
      <c r="E875" s="1"/>
      <c r="F875" s="1"/>
      <c r="G875" s="1"/>
      <c r="H875" s="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3"/>
      <c r="D876" s="1"/>
      <c r="E876" s="1"/>
      <c r="F876" s="1"/>
      <c r="G876" s="1"/>
      <c r="H876" s="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3"/>
      <c r="D877" s="1"/>
      <c r="E877" s="1"/>
      <c r="F877" s="1"/>
      <c r="G877" s="1"/>
      <c r="H877" s="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3"/>
      <c r="D878" s="1"/>
      <c r="E878" s="1"/>
      <c r="F878" s="1"/>
      <c r="G878" s="1"/>
      <c r="H878" s="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3"/>
      <c r="D879" s="1"/>
      <c r="E879" s="1"/>
      <c r="F879" s="1"/>
      <c r="G879" s="1"/>
      <c r="H879" s="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3"/>
      <c r="D880" s="1"/>
      <c r="E880" s="1"/>
      <c r="F880" s="1"/>
      <c r="G880" s="1"/>
      <c r="H880" s="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3"/>
      <c r="D881" s="1"/>
      <c r="E881" s="1"/>
      <c r="F881" s="1"/>
      <c r="G881" s="1"/>
      <c r="H881" s="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3"/>
      <c r="D882" s="1"/>
      <c r="E882" s="1"/>
      <c r="F882" s="1"/>
      <c r="G882" s="1"/>
      <c r="H882" s="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3"/>
      <c r="D883" s="1"/>
      <c r="E883" s="1"/>
      <c r="F883" s="1"/>
      <c r="G883" s="1"/>
      <c r="H883" s="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3"/>
      <c r="D884" s="1"/>
      <c r="E884" s="1"/>
      <c r="F884" s="1"/>
      <c r="G884" s="1"/>
      <c r="H884" s="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3"/>
      <c r="D885" s="1"/>
      <c r="E885" s="1"/>
      <c r="F885" s="1"/>
      <c r="G885" s="1"/>
      <c r="H885" s="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3"/>
      <c r="D886" s="1"/>
      <c r="E886" s="1"/>
      <c r="F886" s="1"/>
      <c r="G886" s="1"/>
      <c r="H886" s="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3"/>
      <c r="D887" s="1"/>
      <c r="E887" s="1"/>
      <c r="F887" s="1"/>
      <c r="G887" s="1"/>
      <c r="H887" s="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3"/>
      <c r="D888" s="1"/>
      <c r="E888" s="1"/>
      <c r="F888" s="1"/>
      <c r="G888" s="1"/>
      <c r="H888" s="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3"/>
      <c r="D889" s="1"/>
      <c r="E889" s="1"/>
      <c r="F889" s="1"/>
      <c r="G889" s="1"/>
      <c r="H889" s="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3"/>
      <c r="D890" s="1"/>
      <c r="E890" s="1"/>
      <c r="F890" s="1"/>
      <c r="G890" s="1"/>
      <c r="H890" s="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3"/>
      <c r="D891" s="1"/>
      <c r="E891" s="1"/>
      <c r="F891" s="1"/>
      <c r="G891" s="1"/>
      <c r="H891" s="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3"/>
      <c r="D892" s="1"/>
      <c r="E892" s="1"/>
      <c r="F892" s="1"/>
      <c r="G892" s="1"/>
      <c r="H892" s="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3"/>
      <c r="D893" s="1"/>
      <c r="E893" s="1"/>
      <c r="F893" s="1"/>
      <c r="G893" s="1"/>
      <c r="H893" s="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3"/>
      <c r="D894" s="1"/>
      <c r="E894" s="1"/>
      <c r="F894" s="1"/>
      <c r="G894" s="1"/>
      <c r="H894" s="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3"/>
      <c r="D895" s="1"/>
      <c r="E895" s="1"/>
      <c r="F895" s="1"/>
      <c r="G895" s="1"/>
      <c r="H895" s="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3"/>
      <c r="D896" s="1"/>
      <c r="E896" s="1"/>
      <c r="F896" s="1"/>
      <c r="G896" s="1"/>
      <c r="H896" s="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3"/>
      <c r="D897" s="1"/>
      <c r="E897" s="1"/>
      <c r="F897" s="1"/>
      <c r="G897" s="1"/>
      <c r="H897" s="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3"/>
      <c r="D898" s="1"/>
      <c r="E898" s="1"/>
      <c r="F898" s="1"/>
      <c r="G898" s="1"/>
      <c r="H898" s="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3"/>
      <c r="D899" s="1"/>
      <c r="E899" s="1"/>
      <c r="F899" s="1"/>
      <c r="G899" s="1"/>
      <c r="H899" s="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3"/>
      <c r="D900" s="1"/>
      <c r="E900" s="1"/>
      <c r="F900" s="1"/>
      <c r="G900" s="1"/>
      <c r="H900" s="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3"/>
      <c r="D901" s="1"/>
      <c r="E901" s="1"/>
      <c r="F901" s="1"/>
      <c r="G901" s="1"/>
      <c r="H901" s="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3"/>
      <c r="D902" s="1"/>
      <c r="E902" s="1"/>
      <c r="F902" s="1"/>
      <c r="G902" s="1"/>
      <c r="H902" s="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3"/>
      <c r="D903" s="1"/>
      <c r="E903" s="1"/>
      <c r="F903" s="1"/>
      <c r="G903" s="1"/>
      <c r="H903" s="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3"/>
      <c r="D904" s="1"/>
      <c r="E904" s="1"/>
      <c r="F904" s="1"/>
      <c r="G904" s="1"/>
      <c r="H904" s="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3"/>
      <c r="D905" s="1"/>
      <c r="E905" s="1"/>
      <c r="F905" s="1"/>
      <c r="G905" s="1"/>
      <c r="H905" s="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3"/>
      <c r="D906" s="1"/>
      <c r="E906" s="1"/>
      <c r="F906" s="1"/>
      <c r="G906" s="1"/>
      <c r="H906" s="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3"/>
      <c r="D907" s="1"/>
      <c r="E907" s="1"/>
      <c r="F907" s="1"/>
      <c r="G907" s="1"/>
      <c r="H907" s="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3"/>
      <c r="D908" s="1"/>
      <c r="E908" s="1"/>
      <c r="F908" s="1"/>
      <c r="G908" s="1"/>
      <c r="H908" s="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3"/>
      <c r="D909" s="1"/>
      <c r="E909" s="1"/>
      <c r="F909" s="1"/>
      <c r="G909" s="1"/>
      <c r="H909" s="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3"/>
      <c r="D910" s="1"/>
      <c r="E910" s="1"/>
      <c r="F910" s="1"/>
      <c r="G910" s="1"/>
      <c r="H910" s="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3"/>
      <c r="D911" s="1"/>
      <c r="E911" s="1"/>
      <c r="F911" s="1"/>
      <c r="G911" s="1"/>
      <c r="H911" s="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3"/>
      <c r="D912" s="1"/>
      <c r="E912" s="1"/>
      <c r="F912" s="1"/>
      <c r="G912" s="1"/>
      <c r="H912" s="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3"/>
      <c r="D913" s="1"/>
      <c r="E913" s="1"/>
      <c r="F913" s="1"/>
      <c r="G913" s="1"/>
      <c r="H913" s="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3"/>
      <c r="D914" s="1"/>
      <c r="E914" s="1"/>
      <c r="F914" s="1"/>
      <c r="G914" s="1"/>
      <c r="H914" s="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3"/>
      <c r="D915" s="1"/>
      <c r="E915" s="1"/>
      <c r="F915" s="1"/>
      <c r="G915" s="1"/>
      <c r="H915" s="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3"/>
      <c r="D916" s="1"/>
      <c r="E916" s="1"/>
      <c r="F916" s="1"/>
      <c r="G916" s="1"/>
      <c r="H916" s="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3"/>
      <c r="D917" s="1"/>
      <c r="E917" s="1"/>
      <c r="F917" s="1"/>
      <c r="G917" s="1"/>
      <c r="H917" s="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3"/>
      <c r="D918" s="1"/>
      <c r="E918" s="1"/>
      <c r="F918" s="1"/>
      <c r="G918" s="1"/>
      <c r="H918" s="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3"/>
      <c r="D919" s="1"/>
      <c r="E919" s="1"/>
      <c r="F919" s="1"/>
      <c r="G919" s="1"/>
      <c r="H919" s="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3"/>
      <c r="D920" s="1"/>
      <c r="E920" s="1"/>
      <c r="F920" s="1"/>
      <c r="G920" s="1"/>
      <c r="H920" s="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3"/>
      <c r="D921" s="1"/>
      <c r="E921" s="1"/>
      <c r="F921" s="1"/>
      <c r="G921" s="1"/>
      <c r="H921" s="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3"/>
      <c r="D922" s="1"/>
      <c r="E922" s="1"/>
      <c r="F922" s="1"/>
      <c r="G922" s="1"/>
      <c r="H922" s="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3"/>
      <c r="D923" s="1"/>
      <c r="E923" s="1"/>
      <c r="F923" s="1"/>
      <c r="G923" s="1"/>
      <c r="H923" s="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3"/>
      <c r="D924" s="1"/>
      <c r="E924" s="1"/>
      <c r="F924" s="1"/>
      <c r="G924" s="1"/>
      <c r="H924" s="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3"/>
      <c r="D925" s="1"/>
      <c r="E925" s="1"/>
      <c r="F925" s="1"/>
      <c r="G925" s="1"/>
      <c r="H925" s="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3"/>
      <c r="D926" s="1"/>
      <c r="E926" s="1"/>
      <c r="F926" s="1"/>
      <c r="G926" s="1"/>
      <c r="H926" s="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3"/>
      <c r="D927" s="1"/>
      <c r="E927" s="1"/>
      <c r="F927" s="1"/>
      <c r="G927" s="1"/>
      <c r="H927" s="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3"/>
      <c r="D928" s="1"/>
      <c r="E928" s="1"/>
      <c r="F928" s="1"/>
      <c r="G928" s="1"/>
      <c r="H928" s="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3"/>
      <c r="D929" s="1"/>
      <c r="E929" s="1"/>
      <c r="F929" s="1"/>
      <c r="G929" s="1"/>
      <c r="H929" s="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3"/>
      <c r="D930" s="1"/>
      <c r="E930" s="1"/>
      <c r="F930" s="1"/>
      <c r="G930" s="1"/>
      <c r="H930" s="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3"/>
      <c r="D931" s="1"/>
      <c r="E931" s="1"/>
      <c r="F931" s="1"/>
      <c r="G931" s="1"/>
      <c r="H931" s="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3"/>
      <c r="D932" s="1"/>
      <c r="E932" s="1"/>
      <c r="F932" s="1"/>
      <c r="G932" s="1"/>
      <c r="H932" s="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3"/>
      <c r="D933" s="1"/>
      <c r="E933" s="1"/>
      <c r="F933" s="1"/>
      <c r="G933" s="1"/>
      <c r="H933" s="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3"/>
      <c r="D934" s="1"/>
      <c r="E934" s="1"/>
      <c r="F934" s="1"/>
      <c r="G934" s="1"/>
      <c r="H934" s="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3"/>
      <c r="D935" s="1"/>
      <c r="E935" s="1"/>
      <c r="F935" s="1"/>
      <c r="G935" s="1"/>
      <c r="H935" s="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3"/>
      <c r="D936" s="1"/>
      <c r="E936" s="1"/>
      <c r="F936" s="1"/>
      <c r="G936" s="1"/>
      <c r="H936" s="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3"/>
      <c r="D937" s="1"/>
      <c r="E937" s="1"/>
      <c r="F937" s="1"/>
      <c r="G937" s="1"/>
      <c r="H937" s="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3"/>
      <c r="D938" s="1"/>
      <c r="E938" s="1"/>
      <c r="F938" s="1"/>
      <c r="G938" s="1"/>
      <c r="H938" s="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3"/>
      <c r="D939" s="1"/>
      <c r="E939" s="1"/>
      <c r="F939" s="1"/>
      <c r="G939" s="1"/>
      <c r="H939" s="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3"/>
      <c r="D940" s="1"/>
      <c r="E940" s="1"/>
      <c r="F940" s="1"/>
      <c r="G940" s="1"/>
      <c r="H940" s="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3"/>
      <c r="D941" s="1"/>
      <c r="E941" s="1"/>
      <c r="F941" s="1"/>
      <c r="G941" s="1"/>
      <c r="H941" s="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3"/>
      <c r="D942" s="1"/>
      <c r="E942" s="1"/>
      <c r="F942" s="1"/>
      <c r="G942" s="1"/>
      <c r="H942" s="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3"/>
      <c r="D943" s="1"/>
      <c r="E943" s="1"/>
      <c r="F943" s="1"/>
      <c r="G943" s="1"/>
      <c r="H943" s="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3"/>
      <c r="D944" s="1"/>
      <c r="E944" s="1"/>
      <c r="F944" s="1"/>
      <c r="G944" s="1"/>
      <c r="H944" s="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3"/>
      <c r="D945" s="1"/>
      <c r="E945" s="1"/>
      <c r="F945" s="1"/>
      <c r="G945" s="1"/>
      <c r="H945" s="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3"/>
      <c r="D946" s="1"/>
      <c r="E946" s="1"/>
      <c r="F946" s="1"/>
      <c r="G946" s="1"/>
      <c r="H946" s="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3"/>
      <c r="D947" s="1"/>
      <c r="E947" s="1"/>
      <c r="F947" s="1"/>
      <c r="G947" s="1"/>
      <c r="H947" s="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3"/>
      <c r="D948" s="1"/>
      <c r="E948" s="1"/>
      <c r="F948" s="1"/>
      <c r="G948" s="1"/>
      <c r="H948" s="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3"/>
      <c r="D949" s="1"/>
      <c r="E949" s="1"/>
      <c r="F949" s="1"/>
      <c r="G949" s="1"/>
      <c r="H949" s="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3"/>
      <c r="D950" s="1"/>
      <c r="E950" s="1"/>
      <c r="F950" s="1"/>
      <c r="G950" s="1"/>
      <c r="H950" s="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3"/>
      <c r="D951" s="1"/>
      <c r="E951" s="1"/>
      <c r="F951" s="1"/>
      <c r="G951" s="1"/>
      <c r="H951" s="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3"/>
      <c r="D952" s="1"/>
      <c r="E952" s="1"/>
      <c r="F952" s="1"/>
      <c r="G952" s="1"/>
      <c r="H952" s="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3"/>
      <c r="D953" s="1"/>
      <c r="E953" s="1"/>
      <c r="F953" s="1"/>
      <c r="G953" s="1"/>
      <c r="H953" s="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3"/>
      <c r="D954" s="1"/>
      <c r="E954" s="1"/>
      <c r="F954" s="1"/>
      <c r="G954" s="1"/>
      <c r="H954" s="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3"/>
      <c r="D955" s="1"/>
      <c r="E955" s="1"/>
      <c r="F955" s="1"/>
      <c r="G955" s="1"/>
      <c r="H955" s="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3"/>
      <c r="D956" s="1"/>
      <c r="E956" s="1"/>
      <c r="F956" s="1"/>
      <c r="G956" s="1"/>
      <c r="H956" s="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3"/>
      <c r="D957" s="1"/>
      <c r="E957" s="1"/>
      <c r="F957" s="1"/>
      <c r="G957" s="1"/>
      <c r="H957" s="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3"/>
      <c r="D958" s="1"/>
      <c r="E958" s="1"/>
      <c r="F958" s="1"/>
      <c r="G958" s="1"/>
      <c r="H958" s="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3"/>
      <c r="D959" s="1"/>
      <c r="E959" s="1"/>
      <c r="F959" s="1"/>
      <c r="G959" s="1"/>
      <c r="H959" s="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3"/>
      <c r="D960" s="1"/>
      <c r="E960" s="1"/>
      <c r="F960" s="1"/>
      <c r="G960" s="1"/>
      <c r="H960" s="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3"/>
      <c r="D961" s="1"/>
      <c r="E961" s="1"/>
      <c r="F961" s="1"/>
      <c r="G961" s="1"/>
      <c r="H961" s="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3"/>
      <c r="D962" s="1"/>
      <c r="E962" s="1"/>
      <c r="F962" s="1"/>
      <c r="G962" s="1"/>
      <c r="H962" s="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3"/>
      <c r="D963" s="1"/>
      <c r="E963" s="1"/>
      <c r="F963" s="1"/>
      <c r="G963" s="1"/>
      <c r="H963" s="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3"/>
      <c r="D964" s="1"/>
      <c r="E964" s="1"/>
      <c r="F964" s="1"/>
      <c r="G964" s="1"/>
      <c r="H964" s="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3"/>
      <c r="D965" s="1"/>
      <c r="E965" s="1"/>
      <c r="F965" s="1"/>
      <c r="G965" s="1"/>
      <c r="H965" s="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3"/>
      <c r="D966" s="1"/>
      <c r="E966" s="1"/>
      <c r="F966" s="1"/>
      <c r="G966" s="1"/>
      <c r="H966" s="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3"/>
      <c r="D967" s="1"/>
      <c r="E967" s="1"/>
      <c r="F967" s="1"/>
      <c r="G967" s="1"/>
      <c r="H967" s="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3"/>
      <c r="D968" s="1"/>
      <c r="E968" s="1"/>
      <c r="F968" s="1"/>
      <c r="G968" s="1"/>
      <c r="H968" s="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3"/>
      <c r="D969" s="1"/>
      <c r="E969" s="1"/>
      <c r="F969" s="1"/>
      <c r="G969" s="1"/>
      <c r="H969" s="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3"/>
      <c r="D970" s="1"/>
      <c r="E970" s="1"/>
      <c r="F970" s="1"/>
      <c r="G970" s="1"/>
      <c r="H970" s="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3"/>
      <c r="D971" s="1"/>
      <c r="E971" s="1"/>
      <c r="F971" s="1"/>
      <c r="G971" s="1"/>
      <c r="H971" s="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3"/>
      <c r="D972" s="1"/>
      <c r="E972" s="1"/>
      <c r="F972" s="1"/>
      <c r="G972" s="1"/>
      <c r="H972" s="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3"/>
      <c r="D973" s="1"/>
      <c r="E973" s="1"/>
      <c r="F973" s="1"/>
      <c r="G973" s="1"/>
      <c r="H973" s="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3"/>
      <c r="D974" s="1"/>
      <c r="E974" s="1"/>
      <c r="F974" s="1"/>
      <c r="G974" s="1"/>
      <c r="H974" s="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3"/>
      <c r="D975" s="1"/>
      <c r="E975" s="1"/>
      <c r="F975" s="1"/>
      <c r="G975" s="1"/>
      <c r="H975" s="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3"/>
      <c r="D976" s="1"/>
      <c r="E976" s="1"/>
      <c r="F976" s="1"/>
      <c r="G976" s="1"/>
      <c r="H976" s="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3"/>
      <c r="D977" s="1"/>
      <c r="E977" s="1"/>
      <c r="F977" s="1"/>
      <c r="G977" s="1"/>
      <c r="H977" s="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3"/>
      <c r="D978" s="1"/>
      <c r="E978" s="1"/>
      <c r="F978" s="1"/>
      <c r="G978" s="1"/>
      <c r="H978" s="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3"/>
      <c r="D979" s="1"/>
      <c r="E979" s="1"/>
      <c r="F979" s="1"/>
      <c r="G979" s="1"/>
      <c r="H979" s="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3"/>
      <c r="D980" s="1"/>
      <c r="E980" s="1"/>
      <c r="F980" s="1"/>
      <c r="G980" s="1"/>
      <c r="H980" s="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3"/>
      <c r="D981" s="1"/>
      <c r="E981" s="1"/>
      <c r="F981" s="1"/>
      <c r="G981" s="1"/>
      <c r="H981" s="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3"/>
      <c r="D982" s="1"/>
      <c r="E982" s="1"/>
      <c r="F982" s="1"/>
      <c r="G982" s="1"/>
      <c r="H982" s="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3"/>
      <c r="D983" s="1"/>
      <c r="E983" s="1"/>
      <c r="F983" s="1"/>
      <c r="G983" s="1"/>
      <c r="H983" s="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3"/>
      <c r="D984" s="1"/>
      <c r="E984" s="1"/>
      <c r="F984" s="1"/>
      <c r="G984" s="1"/>
      <c r="H984" s="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3"/>
      <c r="D985" s="1"/>
      <c r="E985" s="1"/>
      <c r="F985" s="1"/>
      <c r="G985" s="1"/>
      <c r="H985" s="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3"/>
      <c r="D986" s="1"/>
      <c r="E986" s="1"/>
      <c r="F986" s="1"/>
      <c r="G986" s="1"/>
      <c r="H986" s="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3"/>
      <c r="D987" s="1"/>
      <c r="E987" s="1"/>
      <c r="F987" s="1"/>
      <c r="G987" s="1"/>
      <c r="H987" s="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3"/>
      <c r="D988" s="1"/>
      <c r="E988" s="1"/>
      <c r="F988" s="1"/>
      <c r="G988" s="1"/>
      <c r="H988" s="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3"/>
      <c r="D989" s="1"/>
      <c r="E989" s="1"/>
      <c r="F989" s="1"/>
      <c r="G989" s="1"/>
      <c r="H989" s="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3"/>
      <c r="D990" s="1"/>
      <c r="E990" s="1"/>
      <c r="F990" s="1"/>
      <c r="G990" s="1"/>
      <c r="H990" s="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3"/>
      <c r="D991" s="1"/>
      <c r="E991" s="1"/>
      <c r="F991" s="1"/>
      <c r="G991" s="1"/>
      <c r="H991" s="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3"/>
      <c r="D992" s="1"/>
      <c r="E992" s="1"/>
      <c r="F992" s="1"/>
      <c r="G992" s="1"/>
      <c r="H992" s="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3"/>
      <c r="D993" s="1"/>
      <c r="E993" s="1"/>
      <c r="F993" s="1"/>
      <c r="G993" s="1"/>
      <c r="H993" s="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3"/>
      <c r="D994" s="1"/>
      <c r="E994" s="1"/>
      <c r="F994" s="1"/>
      <c r="G994" s="1"/>
      <c r="H994" s="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3"/>
      <c r="D995" s="1"/>
      <c r="E995" s="1"/>
      <c r="F995" s="1"/>
      <c r="G995" s="1"/>
      <c r="H995" s="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3"/>
      <c r="D996" s="1"/>
      <c r="E996" s="1"/>
      <c r="F996" s="1"/>
      <c r="G996" s="1"/>
      <c r="H996" s="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3"/>
      <c r="D997" s="1"/>
      <c r="E997" s="1"/>
      <c r="F997" s="1"/>
      <c r="G997" s="1"/>
      <c r="H997" s="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3"/>
      <c r="D998" s="1"/>
      <c r="E998" s="1"/>
      <c r="F998" s="1"/>
      <c r="G998" s="1"/>
      <c r="H998" s="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3"/>
      <c r="D999" s="1"/>
      <c r="E999" s="1"/>
      <c r="F999" s="1"/>
      <c r="G999" s="1"/>
      <c r="H999" s="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3"/>
      <c r="D1000" s="1"/>
      <c r="E1000" s="1"/>
      <c r="F1000" s="1"/>
      <c r="G1000" s="1"/>
      <c r="H1000" s="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D2:F2"/>
    <mergeCell ref="C35:E35"/>
    <mergeCell ref="I35:J35"/>
    <mergeCell ref="C36:E36"/>
    <mergeCell ref="I36:J36"/>
  </mergeCells>
  <drawing r:id="rId1"/>
</worksheet>
</file>